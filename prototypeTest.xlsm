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550105C-96F4-41D6-A845-383E0B1BA1D5}"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6"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Bal!$K$1:$P$584</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<sst xmlns="http://schemas.openxmlformats.org/spreadsheetml/2006/main" count="529" uniqueCount="193">
  <si>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</si>
  <si>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</si>
  <si>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</si>
  <si>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</si>
  <si>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</si>
  <si>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</si>
  <si>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</si>
  <si>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</si>
  <si>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</si>
  <si>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</si>
  <si>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</si>
  <si>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</si>
  <si>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</si>
  <si>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</si>
  <si>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</si>
  <si>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</si>
  <si>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</si>
  <si>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</si>
  <si>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</si>
  <si>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</si>
  <si>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</si>
  <si>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</si>
  <si>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</si>
  <si>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</si>
  <si>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</si>
  <si>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</si>
  <si>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</si>
  <si>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</si>
  <si>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</si>
  <si>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</si>
  <si>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</si>
  <si>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</si>
  <si>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</si>
  <si>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</si>
  <si>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</si>
  <si>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</si>
  <si>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</si>
  <si>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</si>
  <si>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</si>
  <si>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</si>
  <si>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</si>
  <si>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</si>
  <si>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</si>
  <si>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</si>
  <si>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</si>
  <si>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</si>
  <si>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</si>
  <si>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</si>
  <si>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</si>
  <si>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</si>
  <si>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</si>
  <si>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</si>
  <si>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</si>
  <si>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</si>
  <si>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</si>
  <si>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</si>
  <si>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</si>
  <si>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</si>
  <si>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</si>
  <si>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</si>
  <si>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</si>
  <si>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</si>
  <si>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</si>
  <si>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</si>
  <si>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</si>
  <si>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</si>
  <si>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</si>
  <si>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</si>
  <si>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</si>
  <si>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</si>
  <si>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</si>
  <si>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</si>
  <si>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</si>
  <si>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</si>
  <si>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</si>
  <si>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</si>
  <si>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</si>
  <si>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</si>
  <si>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</si>
  <si>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</si>
  <si>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</si>
  <si>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</si>
  <si>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</si>
  <si>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</si>
  <si>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</si>
  <si>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</si>
  <si>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</si>
  <si>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</si>
  <si>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</si>
  <si>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</si>
  <si>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</si>
  <si>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</si>
  <si>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</si>
  <si>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</si>
  <si>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</si>
  <si>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</si>
  <si>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</si>
  <si>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</si>
  <si>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</si>
  <si>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</si>
  <si>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</si>
  <si>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</si>
  <si>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</si>
  <si>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</si>
  <si>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</si>
  <si>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</si>
  <si>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</si>
  <si>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</si>
  <si>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</si>
  <si>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</si>
  <si>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</si>
  <si>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</si>
  <si>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</si>
  <si>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</si>
  <si>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</si>
  <si>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</si>
  <si>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</si>
  <si>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</si>
  <si>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</si>
  <si>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</si>
  <si>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</si>
  <si>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</si>
  <si>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</si>
  <si>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</si>
  <si>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</si>
  <si>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</si>
  <si>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</si>
  <si>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</si>
  <si>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</si>
  <si>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</si>
  <si>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</si>
  <si>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</si>
  <si>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</si>
  <si>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</si>
  <si>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</si>
  <si>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</si>
  <si>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</si>
  <si>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</si>
  <si>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</si>
  <si>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</si>
  <si>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</si>
  <si>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</si>
  <si>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</si>
  <si>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</si>
  <si>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</si>
  <si>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</si>
  <si>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</si>
  <si>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</si>
  <si>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</si>
  <si>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</si>
  <si>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</si>
  <si>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</si>
  <si>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</si>
  <si>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</si>
  <si>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</si>
  <si>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</si>
  <si>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Nuttylicious Nibbles</t>
  </si>
  <si>
    <t>Chocolate Popcorn Family Pack</t>
  </si>
  <si>
    <t>Savoury Flavours Bundle (8 Packs x 65g)</t>
  </si>
  <si>
    <t>SC  (30g)</t>
  </si>
  <si>
    <t>Pokemon (CC)</t>
  </si>
  <si>
    <t>Pokemon  (CH)</t>
  </si>
  <si>
    <t>Pokemon  (KBT)</t>
  </si>
  <si>
    <t>220719T39C4YWE</t>
  </si>
  <si>
    <t>Zack Lim</t>
  </si>
  <si>
    <t>2 CHANGI BUSINESS PARK CRESCENT lobby B, SG, 486029</t>
  </si>
  <si>
    <t>{'20 + 5 Popcorn Bundle Set (25 Packs x 65g)': 3}</t>
  </si>
  <si>
    <t xml:space="preserve">  </t>
  </si>
  <si>
    <t>fulfilled</t>
  </si>
  <si>
    <t>2022-07-19 11:06:46 AM</t>
  </si>
  <si>
    <t>norman choo</t>
  </si>
  <si>
    <t>buangkok crescent blk981b #05-33</t>
  </si>
  <si>
    <t>{'The Classic Popcorn Pack Bundle (Assortment of 8 Packs x 65g)': 1}</t>
  </si>
  <si>
    <t>2022-07-20 04:05:14 PM</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</si>
  <si>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</si>
  <si>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</si>
  <si>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</si>
  <si>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</si>
  <si>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</si>
  <si>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</si>
  <si>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</si>
  <si>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</si>
  <si>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</si>
  <si>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</si>
  <si>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</si>
  <si>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</si>
  <si>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</si>
  <si>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TO_CONFIRM_RECEIVE</t>
  </si>
  <si>
    <t>2207200TPQGVV8</t>
  </si>
  <si>
    <t>PROCESSED</t>
  </si>
  <si>
    <t>Venus</t>
  </si>
  <si>
    <t>BLOCK 486B, TAMPINES AVENUE 9, #08-68, SG, 521486</t>
  </si>
  <si>
    <t>{'The Original Mini Pack Popcorn Bundle Box (Assortment of 8 Packs x 30g)':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</si>
</sst>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0" zoomScaleNormal="80" workbookViewId="0">
      <selection activeCell="F6" sqref="F6"/>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141</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140</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146</v>
      </c>
    </row>
    <row r="6" spans="1:19">
      <c r="A6" s="6"/>
      <c r="B6" s="6"/>
      <c r="C6" s="6"/>
      <c r="D6" s="6"/>
      <c r="E6" s="6"/>
      <c r="F6" s="6"/>
      <c r="G6" s="6"/>
      <c r="H6" s="6"/>
      <c r="I6" s="6"/>
      <c r="J6" s="6"/>
      <c r="K6" s="6"/>
      <c r="L6" s="6"/>
      <c r="M6" s="6"/>
      <c r="N6" s="6"/>
      <c r="S6" s="3" t="s">
        <v>147</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160</v>
      </c>
      <c r="Q68" s="10">
        <v>50</v>
      </c>
    </row>
    <row r="69" spans="16:17">
      <c r="P69" s="11" t="s">
        <v>94</v>
      </c>
      <c r="Q69" s="10">
        <v>50</v>
      </c>
    </row>
    <row r="70" spans="16:17">
      <c r="P70" s="9" t="s">
        <v>161</v>
      </c>
      <c r="Q70" s="10">
        <v>41</v>
      </c>
    </row>
    <row r="71" spans="16:17">
      <c r="P71" s="11" t="s">
        <v>94</v>
      </c>
      <c r="Q71" s="10">
        <v>41</v>
      </c>
    </row>
    <row r="72" spans="16:17">
      <c r="P72" s="9" t="s">
        <v>162</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2" activePane="bottomLeft" state="frozen"/>
      <selection pane="bottomLeft" activeCell="A49" sqref="A4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157</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156</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158</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91"/>
  <sheetViews>
    <sheetView tabSelected="1" topLeftCell="E1" zoomScale="85" zoomScaleNormal="85" workbookViewId="0">
      <selection activeCell="F1" sqref="F1"/>
    </sheetView>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68</v>
      </c>
      <c r="B1" s="14" t="s">
        <v>92</v>
      </c>
      <c r="C1" s="14" t="s">
        <v>56</v>
      </c>
      <c r="D1" s="14" t="s">
        <v>73</v>
      </c>
      <c r="E1" s="15" t="s">
        <v>74</v>
      </c>
      <c r="F1" s="15" t="s">
        <v>90</v>
      </c>
      <c r="G1" s="14" t="s">
        <v>76</v>
      </c>
      <c r="H1" s="14" t="s">
        <v>142</v>
      </c>
      <c r="I1" s="16"/>
      <c r="K1" s="63" t="s">
        <v>77</v>
      </c>
      <c r="L1" s="64"/>
      <c r="M1" s="64"/>
      <c r="N1" s="64"/>
      <c r="O1" s="64"/>
      <c r="P1" s="64"/>
      <c r="Q1" s="65"/>
      <c r="S1" s="14" t="s">
        <v>143</v>
      </c>
    </row>
    <row r="2" spans="1:21" ht="13.9">
      <c r="A2" s="18" t="s">
        <v>10</v>
      </c>
      <c r="B2" s="18" t="s">
        <v>46</v>
      </c>
      <c r="C2" s="17" t="s">
        <v>54</v>
      </c>
      <c r="D2" s="19"/>
      <c r="E2" s="17">
        <v>0</v>
      </c>
      <c r="F2" s="17">
        <v>0</v>
      </c>
      <c r="G2" s="17">
        <f>E2-F2</f>
        <v>0</v>
      </c>
      <c r="H2" s="17"/>
      <c r="I2" s="20"/>
      <c r="K2" s="27" t="s">
        <v>91</v>
      </c>
      <c r="L2" s="21" t="s">
        <v>56</v>
      </c>
      <c r="M2" s="21" t="s">
        <v>57</v>
      </c>
      <c r="N2" s="21" t="s">
        <v>58</v>
      </c>
      <c r="O2" s="21" t="s">
        <v>59</v>
      </c>
      <c r="P2" s="21" t="s">
        <v>60</v>
      </c>
      <c r="Q2" s="28" t="s">
        <v>142</v>
      </c>
      <c r="S2" s="18" t="s">
        <v>144</v>
      </c>
    </row>
    <row r="3" spans="1:21">
      <c r="A3" s="18" t="s">
        <v>10</v>
      </c>
      <c r="B3" s="18" t="s">
        <v>47</v>
      </c>
      <c r="C3" s="17" t="s">
        <v>54</v>
      </c>
      <c r="D3" s="19"/>
      <c r="E3" s="17">
        <v>1318</v>
      </c>
      <c r="F3" s="17">
        <v>1</v>
      </c>
      <c r="G3" s="17">
        <f t="shared" ref="G3:G65" si="0">E3-F3</f>
        <v>1317</v>
      </c>
      <c r="H3" s="17"/>
      <c r="I3" s="20"/>
      <c r="K3" s="22">
        <v>44762.610185185185</v>
      </c>
      <c r="L3" s="23" t="s">
        <v>54</v>
      </c>
      <c r="M3" s="23" t="s">
        <v>31</v>
      </c>
      <c r="N3" s="23">
        <v>1023</v>
      </c>
      <c r="O3" s="23">
        <v>-4</v>
      </c>
      <c r="P3" s="23">
        <v>1019</v>
      </c>
      <c r="Q3" s="24"/>
      <c r="S3" s="18" t="s">
        <v>145</v>
      </c>
    </row>
    <row r="4" spans="1:21">
      <c r="A4" s="18" t="s">
        <v>10</v>
      </c>
      <c r="B4" s="18" t="s">
        <v>48</v>
      </c>
      <c r="C4" s="17" t="s">
        <v>54</v>
      </c>
      <c r="D4" s="19"/>
      <c r="E4" s="17">
        <v>5</v>
      </c>
      <c r="F4" s="17">
        <v>0</v>
      </c>
      <c r="G4" s="17">
        <f t="shared" si="0"/>
        <v>5</v>
      </c>
      <c r="H4" s="17"/>
      <c r="I4" s="20"/>
      <c r="K4" s="22">
        <v>44762.610185185185</v>
      </c>
      <c r="L4" s="23" t="s">
        <v>54</v>
      </c>
      <c r="M4" s="23" t="s">
        <v>30</v>
      </c>
      <c r="N4" s="23">
        <v>1706</v>
      </c>
      <c r="O4" s="23">
        <v>-3</v>
      </c>
      <c r="P4" s="23">
        <v>1703</v>
      </c>
      <c r="Q4" s="24"/>
      <c r="S4" s="18" t="s">
        <v>153</v>
      </c>
      <c r="U4" s="25"/>
    </row>
    <row r="5" spans="1:21">
      <c r="A5" s="18" t="s">
        <v>10</v>
      </c>
      <c r="B5" s="18" t="s">
        <v>93</v>
      </c>
      <c r="C5" s="17" t="s">
        <v>54</v>
      </c>
      <c r="D5" s="19"/>
      <c r="E5" s="17">
        <v>0</v>
      </c>
      <c r="F5" s="17"/>
      <c r="G5" s="17">
        <f t="shared" si="0"/>
        <v>0</v>
      </c>
      <c r="H5" s="17"/>
      <c r="I5" s="20"/>
      <c r="K5" s="22">
        <v>44762.610185185185</v>
      </c>
      <c r="L5" s="23" t="s">
        <v>54</v>
      </c>
      <c r="M5" s="23" t="s">
        <v>29</v>
      </c>
      <c r="N5" s="23">
        <v>1236</v>
      </c>
      <c r="O5" s="23">
        <v>-3</v>
      </c>
      <c r="P5" s="23">
        <v>1233</v>
      </c>
      <c r="Q5" s="24"/>
      <c r="S5" s="18"/>
      <c r="U5" s="25"/>
    </row>
    <row r="6" spans="1:21">
      <c r="A6" s="18" t="s">
        <v>9</v>
      </c>
      <c r="B6" s="18" t="s">
        <v>46</v>
      </c>
      <c r="C6" s="17" t="s">
        <v>54</v>
      </c>
      <c r="D6" s="19"/>
      <c r="E6" s="17">
        <v>2360</v>
      </c>
      <c r="F6" s="17">
        <v>0</v>
      </c>
      <c r="G6" s="17">
        <f t="shared" si="0"/>
        <v>2360</v>
      </c>
      <c r="H6" s="17"/>
      <c r="I6" s="20"/>
      <c r="K6" s="22">
        <v>44762.610185185185</v>
      </c>
      <c r="L6" s="23" t="s">
        <v>54</v>
      </c>
      <c r="M6" s="23" t="s">
        <v>28</v>
      </c>
      <c r="N6" s="23">
        <v>1331</v>
      </c>
      <c r="O6" s="23">
        <v>-3</v>
      </c>
      <c r="P6" s="23">
        <v>1328</v>
      </c>
      <c r="Q6" s="24"/>
      <c r="S6" s="18"/>
    </row>
    <row r="7" spans="1:21">
      <c r="A7" s="18" t="s">
        <v>9</v>
      </c>
      <c r="B7" s="18" t="s">
        <v>47</v>
      </c>
      <c r="C7" s="17" t="s">
        <v>54</v>
      </c>
      <c r="D7" s="19"/>
      <c r="E7" s="17">
        <v>737</v>
      </c>
      <c r="F7" s="17">
        <v>2</v>
      </c>
      <c r="G7" s="17">
        <f t="shared" si="0"/>
        <v>735</v>
      </c>
      <c r="H7" s="17"/>
      <c r="I7" s="20"/>
      <c r="K7" s="22">
        <v>44762.610185185185</v>
      </c>
      <c r="L7" s="23" t="s">
        <v>54</v>
      </c>
      <c r="M7" s="23" t="s">
        <v>26</v>
      </c>
      <c r="N7" s="23">
        <v>488</v>
      </c>
      <c r="O7" s="23">
        <v>-3</v>
      </c>
      <c r="P7" s="23">
        <v>485</v>
      </c>
      <c r="Q7" s="24"/>
      <c r="S7" s="18"/>
    </row>
    <row r="8" spans="1:21">
      <c r="A8" s="18" t="s">
        <v>9</v>
      </c>
      <c r="B8" s="18" t="s">
        <v>48</v>
      </c>
      <c r="C8" s="17" t="s">
        <v>54</v>
      </c>
      <c r="D8" s="19"/>
      <c r="E8" s="17">
        <v>7</v>
      </c>
      <c r="F8" s="17">
        <v>0</v>
      </c>
      <c r="G8" s="17">
        <f t="shared" si="0"/>
        <v>7</v>
      </c>
      <c r="H8" s="17"/>
      <c r="I8" s="20"/>
      <c r="K8" s="22">
        <v>44762.610185185185</v>
      </c>
      <c r="L8" s="23" t="s">
        <v>54</v>
      </c>
      <c r="M8" s="23" t="s">
        <v>25</v>
      </c>
      <c r="N8" s="23">
        <v>741</v>
      </c>
      <c r="O8" s="23">
        <v>-4</v>
      </c>
      <c r="P8" s="23">
        <v>737</v>
      </c>
      <c r="Q8" s="24"/>
      <c r="S8" s="18"/>
    </row>
    <row r="9" spans="1:21">
      <c r="A9" s="18" t="s">
        <v>9</v>
      </c>
      <c r="B9" s="18" t="s">
        <v>93</v>
      </c>
      <c r="C9" s="17" t="s">
        <v>54</v>
      </c>
      <c r="D9" s="19"/>
      <c r="E9" s="17">
        <v>0</v>
      </c>
      <c r="F9" s="17"/>
      <c r="G9" s="17">
        <f t="shared" si="0"/>
        <v>0</v>
      </c>
      <c r="H9" s="17"/>
      <c r="I9" s="20"/>
      <c r="K9" s="22">
        <v>44762.605636574073</v>
      </c>
      <c r="L9" s="23" t="s">
        <v>54</v>
      </c>
      <c r="M9" s="23" t="s">
        <v>29</v>
      </c>
      <c r="N9" s="23">
        <v>1237</v>
      </c>
      <c r="O9" s="23">
        <v>-1</v>
      </c>
      <c r="P9" s="23">
        <v>1236</v>
      </c>
      <c r="Q9" s="24"/>
      <c r="S9" s="18"/>
    </row>
    <row r="10" spans="1:21">
      <c r="A10" s="18" t="s">
        <v>1</v>
      </c>
      <c r="B10" s="18" t="s">
        <v>46</v>
      </c>
      <c r="C10" s="17" t="s">
        <v>54</v>
      </c>
      <c r="D10" s="19"/>
      <c r="E10" s="17">
        <v>1890</v>
      </c>
      <c r="F10" s="17">
        <v>0</v>
      </c>
      <c r="G10" s="17">
        <f t="shared" si="0"/>
        <v>1890</v>
      </c>
      <c r="H10" s="17"/>
      <c r="I10" s="20"/>
      <c r="K10" s="22">
        <v>44762.605636574073</v>
      </c>
      <c r="L10" s="23" t="s">
        <v>54</v>
      </c>
      <c r="M10" s="23" t="s">
        <v>28</v>
      </c>
      <c r="N10" s="23">
        <v>1332</v>
      </c>
      <c r="O10" s="23">
        <v>-1</v>
      </c>
      <c r="P10" s="23">
        <v>1331</v>
      </c>
      <c r="Q10" s="24"/>
      <c r="S10" s="18"/>
    </row>
    <row r="11" spans="1:21">
      <c r="A11" s="18" t="s">
        <v>1</v>
      </c>
      <c r="B11" s="18" t="s">
        <v>47</v>
      </c>
      <c r="C11" s="17" t="s">
        <v>54</v>
      </c>
      <c r="D11" s="19"/>
      <c r="E11" s="17">
        <v>485</v>
      </c>
      <c r="F11" s="17">
        <v>10</v>
      </c>
      <c r="G11" s="17">
        <f t="shared" si="0"/>
        <v>475</v>
      </c>
      <c r="H11" s="17"/>
      <c r="I11" s="20"/>
      <c r="K11" s="22">
        <v>44762.605636574073</v>
      </c>
      <c r="L11" s="23" t="s">
        <v>54</v>
      </c>
      <c r="M11" s="23" t="s">
        <v>27</v>
      </c>
      <c r="N11" s="23">
        <v>667</v>
      </c>
      <c r="O11" s="23">
        <v>-1</v>
      </c>
      <c r="P11" s="23">
        <v>666</v>
      </c>
      <c r="Q11" s="24"/>
      <c r="S11" s="18"/>
    </row>
    <row r="12" spans="1:21">
      <c r="A12" s="18" t="s">
        <v>1</v>
      </c>
      <c r="B12" s="18" t="s">
        <v>48</v>
      </c>
      <c r="C12" s="17" t="s">
        <v>54</v>
      </c>
      <c r="D12" s="19"/>
      <c r="E12" s="17">
        <v>3</v>
      </c>
      <c r="F12" s="17">
        <v>0</v>
      </c>
      <c r="G12" s="17">
        <f t="shared" si="0"/>
        <v>3</v>
      </c>
      <c r="H12" s="17"/>
      <c r="I12" s="20"/>
      <c r="K12" s="22">
        <v>44762.605636574073</v>
      </c>
      <c r="L12" s="23" t="s">
        <v>54</v>
      </c>
      <c r="M12" s="23" t="s">
        <v>26</v>
      </c>
      <c r="N12" s="23">
        <v>489</v>
      </c>
      <c r="O12" s="23">
        <v>-1</v>
      </c>
      <c r="P12" s="23">
        <v>488</v>
      </c>
      <c r="Q12" s="24"/>
      <c r="S12" s="18"/>
    </row>
    <row r="13" spans="1:21">
      <c r="A13" s="18" t="s">
        <v>1</v>
      </c>
      <c r="B13" s="18" t="s">
        <v>93</v>
      </c>
      <c r="C13" s="17" t="s">
        <v>54</v>
      </c>
      <c r="D13" s="19"/>
      <c r="E13" s="17">
        <v>0</v>
      </c>
      <c r="F13" s="17"/>
      <c r="G13" s="17">
        <f t="shared" si="0"/>
        <v>0</v>
      </c>
      <c r="H13" s="17"/>
      <c r="I13" s="20"/>
      <c r="K13" s="22">
        <v>44762.605162037034</v>
      </c>
      <c r="L13" s="23" t="s">
        <v>54</v>
      </c>
      <c r="M13" s="23" t="s">
        <v>33</v>
      </c>
      <c r="N13" s="23">
        <v>8</v>
      </c>
      <c r="O13" s="23">
        <v>-1</v>
      </c>
      <c r="P13" s="23">
        <v>7</v>
      </c>
      <c r="Q13" s="24"/>
      <c r="S13" s="18"/>
    </row>
    <row r="14" spans="1:21">
      <c r="A14" s="18" t="s">
        <v>0</v>
      </c>
      <c r="B14" s="18" t="s">
        <v>46</v>
      </c>
      <c r="C14" s="17" t="s">
        <v>54</v>
      </c>
      <c r="D14" s="19"/>
      <c r="E14" s="17">
        <v>800</v>
      </c>
      <c r="F14" s="17">
        <v>0</v>
      </c>
      <c r="G14" s="17">
        <f t="shared" si="0"/>
        <v>800</v>
      </c>
      <c r="H14" s="17"/>
      <c r="I14" s="20"/>
      <c r="K14" s="22">
        <v>44762.605162037034</v>
      </c>
      <c r="L14" s="23" t="s">
        <v>54</v>
      </c>
      <c r="M14" s="23" t="s">
        <v>32</v>
      </c>
      <c r="N14" s="23">
        <v>6</v>
      </c>
      <c r="O14" s="23">
        <v>-1</v>
      </c>
      <c r="P14" s="23">
        <v>5</v>
      </c>
      <c r="Q14" s="24"/>
      <c r="S14" s="18"/>
    </row>
    <row r="15" spans="1:21">
      <c r="A15" s="18" t="s">
        <v>0</v>
      </c>
      <c r="B15" s="18" t="s">
        <v>47</v>
      </c>
      <c r="C15" s="17" t="s">
        <v>54</v>
      </c>
      <c r="D15" s="19"/>
      <c r="E15" s="17">
        <v>666</v>
      </c>
      <c r="F15" s="17">
        <v>2</v>
      </c>
      <c r="G15" s="17">
        <f t="shared" si="0"/>
        <v>664</v>
      </c>
      <c r="H15" s="17"/>
      <c r="I15" s="20"/>
      <c r="K15" s="22">
        <v>44762.603333333333</v>
      </c>
      <c r="L15" s="23" t="s">
        <v>54</v>
      </c>
      <c r="M15" s="23" t="s">
        <v>30</v>
      </c>
      <c r="N15" s="23">
        <v>1730</v>
      </c>
      <c r="O15" s="23">
        <v>-24</v>
      </c>
      <c r="P15" s="23">
        <v>1706</v>
      </c>
      <c r="Q15" s="24"/>
    </row>
    <row r="16" spans="1:21">
      <c r="A16" s="18" t="s">
        <v>0</v>
      </c>
      <c r="B16" s="18" t="s">
        <v>48</v>
      </c>
      <c r="C16" s="17" t="s">
        <v>54</v>
      </c>
      <c r="D16" s="19"/>
      <c r="E16" s="17">
        <v>5</v>
      </c>
      <c r="F16" s="17">
        <v>2</v>
      </c>
      <c r="G16" s="17">
        <f t="shared" si="0"/>
        <v>3</v>
      </c>
      <c r="H16" s="17"/>
      <c r="I16" s="20"/>
      <c r="K16" s="22">
        <v>44762.603333333333</v>
      </c>
      <c r="L16" s="23" t="s">
        <v>54</v>
      </c>
      <c r="M16" s="23" t="s">
        <v>26</v>
      </c>
      <c r="N16" s="23">
        <v>506</v>
      </c>
      <c r="O16" s="23">
        <v>-17</v>
      </c>
      <c r="P16" s="23">
        <v>489</v>
      </c>
      <c r="Q16" s="24"/>
    </row>
    <row r="17" spans="1:17">
      <c r="A17" s="18" t="s">
        <v>0</v>
      </c>
      <c r="B17" s="18" t="s">
        <v>93</v>
      </c>
      <c r="C17" s="17" t="s">
        <v>54</v>
      </c>
      <c r="D17" s="19"/>
      <c r="E17" s="17">
        <v>0</v>
      </c>
      <c r="F17" s="17"/>
      <c r="G17" s="17">
        <f t="shared" si="0"/>
        <v>0</v>
      </c>
      <c r="H17" s="17"/>
      <c r="I17" s="20"/>
      <c r="K17" s="22">
        <v>44762.603333333333</v>
      </c>
      <c r="L17" s="23" t="s">
        <v>54</v>
      </c>
      <c r="M17" s="23" t="s">
        <v>25</v>
      </c>
      <c r="N17" s="23">
        <v>758</v>
      </c>
      <c r="O17" s="23">
        <v>-17</v>
      </c>
      <c r="P17" s="23">
        <v>741</v>
      </c>
      <c r="Q17" s="24"/>
    </row>
    <row r="18" spans="1:17">
      <c r="A18" s="18" t="s">
        <v>8</v>
      </c>
      <c r="B18" s="18" t="s">
        <v>46</v>
      </c>
      <c r="C18" s="17" t="s">
        <v>54</v>
      </c>
      <c r="D18" s="19"/>
      <c r="E18" s="17">
        <v>1480</v>
      </c>
      <c r="F18" s="17">
        <v>0</v>
      </c>
      <c r="G18" s="17">
        <f t="shared" si="0"/>
        <v>1480</v>
      </c>
      <c r="H18" s="17"/>
      <c r="I18" s="20"/>
      <c r="K18" s="22">
        <v>44762.603333333333</v>
      </c>
      <c r="L18" s="23" t="s">
        <v>54</v>
      </c>
      <c r="M18" s="23" t="s">
        <v>24</v>
      </c>
      <c r="N18" s="23">
        <v>1334</v>
      </c>
      <c r="O18" s="23">
        <v>-16</v>
      </c>
      <c r="P18" s="23">
        <v>1318</v>
      </c>
      <c r="Q18" s="24"/>
    </row>
    <row r="19" spans="1:17">
      <c r="A19" s="18" t="s">
        <v>8</v>
      </c>
      <c r="B19" s="18" t="s">
        <v>47</v>
      </c>
      <c r="C19" s="17" t="s">
        <v>54</v>
      </c>
      <c r="D19" s="19"/>
      <c r="E19" s="17">
        <v>1328</v>
      </c>
      <c r="F19" s="17">
        <v>2</v>
      </c>
      <c r="G19" s="17">
        <f t="shared" si="0"/>
        <v>1326</v>
      </c>
      <c r="H19" s="17"/>
      <c r="I19" s="20"/>
      <c r="K19" s="22">
        <v>44761.499247685184</v>
      </c>
      <c r="L19" s="23" t="s">
        <v>54</v>
      </c>
      <c r="M19" s="23" t="s">
        <v>30</v>
      </c>
      <c r="N19" s="23">
        <v>1735</v>
      </c>
      <c r="O19" s="23">
        <v>-5</v>
      </c>
      <c r="P19" s="23">
        <v>1730</v>
      </c>
      <c r="Q19" s="24"/>
    </row>
    <row r="20" spans="1:17">
      <c r="A20" s="18" t="s">
        <v>8</v>
      </c>
      <c r="B20" s="18" t="s">
        <v>48</v>
      </c>
      <c r="C20" s="17" t="s">
        <v>54</v>
      </c>
      <c r="D20" s="19"/>
      <c r="E20" s="17">
        <v>10</v>
      </c>
      <c r="F20" s="17">
        <v>0</v>
      </c>
      <c r="G20" s="17">
        <f t="shared" si="0"/>
        <v>10</v>
      </c>
      <c r="H20" s="17"/>
      <c r="I20" s="20"/>
      <c r="K20" s="22">
        <v>44761.499247685184</v>
      </c>
      <c r="L20" s="23" t="s">
        <v>54</v>
      </c>
      <c r="M20" s="23" t="s">
        <v>29</v>
      </c>
      <c r="N20" s="23">
        <v>1242</v>
      </c>
      <c r="O20" s="23">
        <v>-5</v>
      </c>
      <c r="P20" s="23">
        <v>1237</v>
      </c>
      <c r="Q20" s="24"/>
    </row>
    <row r="21" spans="1:17">
      <c r="A21" s="18" t="s">
        <v>8</v>
      </c>
      <c r="B21" s="18" t="s">
        <v>93</v>
      </c>
      <c r="C21" s="17" t="s">
        <v>54</v>
      </c>
      <c r="D21" s="19"/>
      <c r="E21" s="17">
        <v>0</v>
      </c>
      <c r="F21" s="17"/>
      <c r="G21" s="17">
        <f t="shared" si="0"/>
        <v>0</v>
      </c>
      <c r="H21" s="17"/>
      <c r="I21" s="20"/>
      <c r="K21" s="22">
        <v>44761.499247685184</v>
      </c>
      <c r="L21" s="23" t="s">
        <v>54</v>
      </c>
      <c r="M21" s="23" t="s">
        <v>28</v>
      </c>
      <c r="N21" s="23">
        <v>1337</v>
      </c>
      <c r="O21" s="23">
        <v>-5</v>
      </c>
      <c r="P21" s="23">
        <v>1332</v>
      </c>
      <c r="Q21" s="24"/>
    </row>
    <row r="22" spans="1:17">
      <c r="A22" s="18" t="s">
        <v>7</v>
      </c>
      <c r="B22" s="18" t="s">
        <v>46</v>
      </c>
      <c r="C22" s="17" t="s">
        <v>54</v>
      </c>
      <c r="D22" s="19"/>
      <c r="E22" s="17">
        <v>928</v>
      </c>
      <c r="F22" s="17">
        <v>0</v>
      </c>
      <c r="G22" s="17">
        <f t="shared" si="0"/>
        <v>928</v>
      </c>
      <c r="H22" s="17"/>
      <c r="I22" s="20"/>
      <c r="K22" s="22">
        <v>44761.499247685184</v>
      </c>
      <c r="L22" s="23" t="s">
        <v>54</v>
      </c>
      <c r="M22" s="23" t="s">
        <v>27</v>
      </c>
      <c r="N22" s="23">
        <v>672</v>
      </c>
      <c r="O22" s="23">
        <v>-5</v>
      </c>
      <c r="P22" s="23">
        <v>667</v>
      </c>
      <c r="Q22" s="24"/>
    </row>
    <row r="23" spans="1:17">
      <c r="A23" s="18" t="s">
        <v>7</v>
      </c>
      <c r="B23" s="18" t="s">
        <v>47</v>
      </c>
      <c r="C23" s="17" t="s">
        <v>54</v>
      </c>
      <c r="D23" s="19"/>
      <c r="E23" s="17">
        <v>1233</v>
      </c>
      <c r="F23" s="17">
        <v>2</v>
      </c>
      <c r="G23" s="17">
        <f t="shared" si="0"/>
        <v>1231</v>
      </c>
      <c r="H23" s="17"/>
      <c r="I23" s="20"/>
      <c r="K23" s="22">
        <v>44761.499247685184</v>
      </c>
      <c r="L23" s="23" t="s">
        <v>54</v>
      </c>
      <c r="M23" s="23" t="s">
        <v>26</v>
      </c>
      <c r="N23" s="23">
        <v>511</v>
      </c>
      <c r="O23" s="23">
        <v>-5</v>
      </c>
      <c r="P23" s="23">
        <v>506</v>
      </c>
      <c r="Q23" s="24"/>
    </row>
    <row r="24" spans="1:17">
      <c r="A24" s="18" t="s">
        <v>7</v>
      </c>
      <c r="B24" s="18" t="s">
        <v>48</v>
      </c>
      <c r="C24" s="17" t="s">
        <v>54</v>
      </c>
      <c r="D24" s="19"/>
      <c r="E24" s="17">
        <v>4</v>
      </c>
      <c r="F24" s="17">
        <v>0</v>
      </c>
      <c r="G24" s="17">
        <f t="shared" si="0"/>
        <v>4</v>
      </c>
      <c r="H24" s="17"/>
      <c r="I24" s="20"/>
      <c r="K24" s="22">
        <v>44761.499247685184</v>
      </c>
      <c r="L24" s="23" t="s">
        <v>54</v>
      </c>
      <c r="M24" s="23" t="s">
        <v>24</v>
      </c>
      <c r="N24" s="23">
        <v>1339</v>
      </c>
      <c r="O24" s="23">
        <v>-5</v>
      </c>
      <c r="P24" s="23">
        <v>1334</v>
      </c>
      <c r="Q24" s="24"/>
    </row>
    <row r="25" spans="1:17">
      <c r="A25" s="18" t="s">
        <v>7</v>
      </c>
      <c r="B25" s="18" t="s">
        <v>93</v>
      </c>
      <c r="C25" s="17" t="s">
        <v>54</v>
      </c>
      <c r="D25" s="19"/>
      <c r="E25" s="17">
        <v>0</v>
      </c>
      <c r="F25" s="17"/>
      <c r="G25" s="17">
        <f t="shared" si="0"/>
        <v>0</v>
      </c>
      <c r="H25" s="17"/>
      <c r="I25" s="20"/>
      <c r="K25" s="22">
        <v>44761.492719907408</v>
      </c>
      <c r="L25" s="23" t="s">
        <v>54</v>
      </c>
      <c r="M25" s="23" t="s">
        <v>31</v>
      </c>
      <c r="N25" s="23">
        <v>1063</v>
      </c>
      <c r="O25" s="23">
        <v>-40</v>
      </c>
      <c r="P25" s="23">
        <v>1023</v>
      </c>
      <c r="Q25" s="24"/>
    </row>
    <row r="26" spans="1:17">
      <c r="A26" s="18" t="s">
        <v>6</v>
      </c>
      <c r="B26" s="18" t="s">
        <v>46</v>
      </c>
      <c r="C26" s="17" t="s">
        <v>54</v>
      </c>
      <c r="D26" s="19"/>
      <c r="E26" s="17">
        <v>1460</v>
      </c>
      <c r="F26" s="17">
        <v>0</v>
      </c>
      <c r="G26" s="17">
        <f t="shared" si="0"/>
        <v>1460</v>
      </c>
      <c r="H26" s="17"/>
      <c r="I26" s="20" t="s">
        <v>167</v>
      </c>
      <c r="K26" s="22">
        <v>44761.492719907408</v>
      </c>
      <c r="L26" s="23" t="s">
        <v>54</v>
      </c>
      <c r="M26" s="23" t="s">
        <v>28</v>
      </c>
      <c r="N26" s="23">
        <v>1377</v>
      </c>
      <c r="O26" s="23">
        <v>-40</v>
      </c>
      <c r="P26" s="23">
        <v>1337</v>
      </c>
      <c r="Q26" s="24"/>
    </row>
    <row r="27" spans="1:17">
      <c r="A27" s="18" t="s">
        <v>6</v>
      </c>
      <c r="B27" s="18" t="s">
        <v>47</v>
      </c>
      <c r="C27" s="17" t="s">
        <v>54</v>
      </c>
      <c r="D27" s="19"/>
      <c r="E27" s="17">
        <v>1703</v>
      </c>
      <c r="F27" s="17">
        <v>1</v>
      </c>
      <c r="G27" s="17">
        <f t="shared" si="0"/>
        <v>1702</v>
      </c>
      <c r="H27" s="17"/>
      <c r="I27" s="20"/>
      <c r="K27" s="22">
        <v>44761.492719907408</v>
      </c>
      <c r="L27" s="23" t="s">
        <v>54</v>
      </c>
      <c r="M27" s="23" t="s">
        <v>25</v>
      </c>
      <c r="N27" s="23">
        <v>798</v>
      </c>
      <c r="O27" s="23">
        <v>-40</v>
      </c>
      <c r="P27" s="23">
        <v>758</v>
      </c>
      <c r="Q27" s="24"/>
    </row>
    <row r="28" spans="1:17">
      <c r="A28" s="18" t="s">
        <v>6</v>
      </c>
      <c r="B28" s="18" t="s">
        <v>48</v>
      </c>
      <c r="C28" s="17" t="s">
        <v>54</v>
      </c>
      <c r="D28" s="19"/>
      <c r="E28" s="17">
        <v>5</v>
      </c>
      <c r="F28" s="17">
        <v>0</v>
      </c>
      <c r="G28" s="17">
        <f t="shared" si="0"/>
        <v>5</v>
      </c>
      <c r="H28" s="17"/>
      <c r="I28" s="20"/>
      <c r="K28" s="22">
        <v>44761.463726851849</v>
      </c>
      <c r="L28" s="23" t="s">
        <v>54</v>
      </c>
      <c r="M28" s="23" t="s">
        <v>31</v>
      </c>
      <c r="N28" s="23">
        <v>1054</v>
      </c>
      <c r="O28" s="23">
        <v>9</v>
      </c>
      <c r="P28" s="23">
        <v>1063</v>
      </c>
      <c r="Q28" s="24"/>
    </row>
    <row r="29" spans="1:17">
      <c r="A29" s="18" t="s">
        <v>6</v>
      </c>
      <c r="B29" s="18" t="s">
        <v>93</v>
      </c>
      <c r="C29" s="17" t="s">
        <v>54</v>
      </c>
      <c r="D29" s="19"/>
      <c r="E29" s="17">
        <v>0</v>
      </c>
      <c r="F29" s="17"/>
      <c r="G29" s="17">
        <f t="shared" si="0"/>
        <v>0</v>
      </c>
      <c r="H29" s="17"/>
      <c r="I29" s="20"/>
      <c r="K29" s="22">
        <v>44761.463726851849</v>
      </c>
      <c r="L29" s="23" t="s">
        <v>54</v>
      </c>
      <c r="M29" s="23" t="s">
        <v>30</v>
      </c>
      <c r="N29" s="23">
        <v>1726</v>
      </c>
      <c r="O29" s="23">
        <v>9</v>
      </c>
      <c r="P29" s="23">
        <v>1735</v>
      </c>
      <c r="Q29" s="24"/>
    </row>
    <row r="30" spans="1:17">
      <c r="A30" s="18" t="s">
        <v>5</v>
      </c>
      <c r="B30" s="18" t="s">
        <v>46</v>
      </c>
      <c r="C30" s="17" t="s">
        <v>54</v>
      </c>
      <c r="D30" s="19"/>
      <c r="E30" s="17">
        <v>1150</v>
      </c>
      <c r="F30" s="17">
        <v>0</v>
      </c>
      <c r="G30" s="17">
        <f t="shared" si="0"/>
        <v>1150</v>
      </c>
      <c r="H30" s="17"/>
      <c r="I30" s="20"/>
      <c r="K30" s="22">
        <v>44761.463726851849</v>
      </c>
      <c r="L30" s="23" t="s">
        <v>54</v>
      </c>
      <c r="M30" s="23" t="s">
        <v>29</v>
      </c>
      <c r="N30" s="23">
        <v>1230</v>
      </c>
      <c r="O30" s="23">
        <v>12</v>
      </c>
      <c r="P30" s="23">
        <v>1242</v>
      </c>
      <c r="Q30" s="24"/>
    </row>
    <row r="31" spans="1:17">
      <c r="A31" s="18" t="s">
        <v>5</v>
      </c>
      <c r="B31" s="18" t="s">
        <v>47</v>
      </c>
      <c r="C31" s="17" t="s">
        <v>54</v>
      </c>
      <c r="D31" s="19"/>
      <c r="E31" s="17">
        <v>1019</v>
      </c>
      <c r="F31" s="17">
        <v>2</v>
      </c>
      <c r="G31" s="17">
        <f t="shared" si="0"/>
        <v>1017</v>
      </c>
      <c r="H31" s="17"/>
      <c r="I31" s="20"/>
      <c r="K31" s="22">
        <v>44761.463726851849</v>
      </c>
      <c r="L31" s="23" t="s">
        <v>54</v>
      </c>
      <c r="M31" s="23" t="s">
        <v>28</v>
      </c>
      <c r="N31" s="23">
        <v>1368</v>
      </c>
      <c r="O31" s="23">
        <v>9</v>
      </c>
      <c r="P31" s="23">
        <v>1377</v>
      </c>
      <c r="Q31" s="24"/>
    </row>
    <row r="32" spans="1:17">
      <c r="A32" s="18" t="s">
        <v>5</v>
      </c>
      <c r="B32" s="18" t="s">
        <v>48</v>
      </c>
      <c r="C32" s="17" t="s">
        <v>54</v>
      </c>
      <c r="D32" s="19"/>
      <c r="E32" s="17">
        <v>10</v>
      </c>
      <c r="F32" s="17">
        <v>0</v>
      </c>
      <c r="G32" s="17">
        <f t="shared" si="0"/>
        <v>10</v>
      </c>
      <c r="H32" s="17"/>
      <c r="I32" s="20"/>
      <c r="K32" s="22">
        <v>44761.463726851849</v>
      </c>
      <c r="L32" s="23" t="s">
        <v>54</v>
      </c>
      <c r="M32" s="23" t="s">
        <v>27</v>
      </c>
      <c r="N32" s="23">
        <v>663</v>
      </c>
      <c r="O32" s="23">
        <v>9</v>
      </c>
      <c r="P32" s="23">
        <v>672</v>
      </c>
      <c r="Q32" s="24"/>
    </row>
    <row r="33" spans="1:17">
      <c r="A33" s="18" t="s">
        <v>5</v>
      </c>
      <c r="B33" s="18" t="s">
        <v>93</v>
      </c>
      <c r="C33" s="17" t="s">
        <v>54</v>
      </c>
      <c r="D33" s="19"/>
      <c r="E33" s="17">
        <v>0</v>
      </c>
      <c r="F33" s="17"/>
      <c r="G33" s="17">
        <f t="shared" si="0"/>
        <v>0</v>
      </c>
      <c r="H33" s="17"/>
      <c r="I33" s="20"/>
      <c r="K33" s="22">
        <v>44761.463726851849</v>
      </c>
      <c r="L33" s="23" t="s">
        <v>54</v>
      </c>
      <c r="M33" s="23" t="s">
        <v>26</v>
      </c>
      <c r="N33" s="23">
        <v>502</v>
      </c>
      <c r="O33" s="23">
        <v>9</v>
      </c>
      <c r="P33" s="23">
        <v>511</v>
      </c>
      <c r="Q33" s="24"/>
    </row>
    <row r="34" spans="1:17">
      <c r="A34" s="18" t="s">
        <v>160</v>
      </c>
      <c r="B34" s="18" t="s">
        <v>94</v>
      </c>
      <c r="C34" s="17" t="s">
        <v>54</v>
      </c>
      <c r="D34" s="19"/>
      <c r="E34" s="17">
        <v>50</v>
      </c>
      <c r="F34" s="17">
        <v>0</v>
      </c>
      <c r="G34" s="17">
        <f t="shared" si="0"/>
        <v>50</v>
      </c>
      <c r="H34" s="17"/>
      <c r="I34" s="20"/>
      <c r="K34" s="22">
        <v>44761.46371527778</v>
      </c>
      <c r="L34" s="23" t="s">
        <v>54</v>
      </c>
      <c r="M34" s="23" t="s">
        <v>25</v>
      </c>
      <c r="N34" s="23">
        <v>789</v>
      </c>
      <c r="O34" s="23">
        <v>9</v>
      </c>
      <c r="P34" s="23">
        <v>798</v>
      </c>
      <c r="Q34" s="24"/>
    </row>
    <row r="35" spans="1:17">
      <c r="A35" s="18" t="s">
        <v>161</v>
      </c>
      <c r="B35" s="18" t="s">
        <v>94</v>
      </c>
      <c r="C35" s="17" t="s">
        <v>54</v>
      </c>
      <c r="D35" s="19"/>
      <c r="E35" s="17">
        <v>41</v>
      </c>
      <c r="F35" s="17"/>
      <c r="G35" s="17">
        <f t="shared" si="0"/>
        <v>41</v>
      </c>
      <c r="H35" s="17"/>
      <c r="I35" s="20"/>
      <c r="K35" s="22">
        <v>44761.46371527778</v>
      </c>
      <c r="L35" s="23" t="s">
        <v>54</v>
      </c>
      <c r="M35" s="23" t="s">
        <v>24</v>
      </c>
      <c r="N35" s="23">
        <v>1330</v>
      </c>
      <c r="O35" s="23">
        <v>9</v>
      </c>
      <c r="P35" s="23">
        <v>1339</v>
      </c>
      <c r="Q35" s="24"/>
    </row>
    <row r="36" spans="1:17">
      <c r="A36" s="18" t="s">
        <v>162</v>
      </c>
      <c r="B36" s="18" t="s">
        <v>94</v>
      </c>
      <c r="C36" s="17" t="s">
        <v>54</v>
      </c>
      <c r="D36" s="19"/>
      <c r="E36" s="17">
        <v>51</v>
      </c>
      <c r="F36" s="17"/>
      <c r="G36" s="17">
        <f t="shared" si="0"/>
        <v>51</v>
      </c>
      <c r="H36" s="17"/>
      <c r="I36" s="20"/>
      <c r="K36" s="22">
        <v>44760.693703703706</v>
      </c>
      <c r="L36" s="23" t="s">
        <v>54</v>
      </c>
      <c r="M36" s="23" t="s">
        <v>28</v>
      </c>
      <c r="N36" s="23">
        <v>1337</v>
      </c>
      <c r="O36" s="23">
        <v>40</v>
      </c>
      <c r="P36" s="23">
        <v>1377</v>
      </c>
      <c r="Q36" s="24"/>
    </row>
    <row r="37" spans="1:17">
      <c r="A37" s="18" t="s">
        <v>79</v>
      </c>
      <c r="B37" s="18" t="s">
        <v>46</v>
      </c>
      <c r="C37" s="17" t="s">
        <v>52</v>
      </c>
      <c r="D37" s="19"/>
      <c r="E37" s="17">
        <v>0</v>
      </c>
      <c r="F37" s="17"/>
      <c r="G37" s="17">
        <f t="shared" si="0"/>
        <v>0</v>
      </c>
      <c r="H37" s="17"/>
      <c r="I37" s="20"/>
      <c r="K37" s="22">
        <v>44760.670810185184</v>
      </c>
      <c r="L37" s="23" t="s">
        <v>54</v>
      </c>
      <c r="M37" s="23" t="s">
        <v>16</v>
      </c>
      <c r="N37" s="23">
        <v>640</v>
      </c>
      <c r="O37" s="23">
        <v>30</v>
      </c>
      <c r="P37" s="23">
        <v>670</v>
      </c>
      <c r="Q37" s="24"/>
    </row>
    <row r="38" spans="1:17">
      <c r="A38" s="18" t="s">
        <v>79</v>
      </c>
      <c r="B38" s="18" t="s">
        <v>47</v>
      </c>
      <c r="C38" s="17" t="s">
        <v>52</v>
      </c>
      <c r="D38" s="19"/>
      <c r="E38" s="17">
        <v>0</v>
      </c>
      <c r="F38" s="17"/>
      <c r="G38" s="17">
        <f t="shared" si="0"/>
        <v>0</v>
      </c>
      <c r="H38" s="17"/>
      <c r="I38" s="20"/>
      <c r="K38" s="22">
        <v>44760.670740740738</v>
      </c>
      <c r="L38" s="23" t="s">
        <v>54</v>
      </c>
      <c r="M38" s="23" t="s">
        <v>16</v>
      </c>
      <c r="N38" s="23">
        <v>0</v>
      </c>
      <c r="O38" s="23">
        <v>640</v>
      </c>
      <c r="P38" s="23">
        <v>640</v>
      </c>
      <c r="Q38" s="24"/>
    </row>
    <row r="39" spans="1:17">
      <c r="A39" s="18" t="s">
        <v>79</v>
      </c>
      <c r="B39" s="18" t="s">
        <v>48</v>
      </c>
      <c r="C39" s="17" t="s">
        <v>52</v>
      </c>
      <c r="D39" s="19"/>
      <c r="E39" s="17">
        <v>0</v>
      </c>
      <c r="F39" s="17"/>
      <c r="G39" s="17">
        <f t="shared" si="0"/>
        <v>0</v>
      </c>
      <c r="H39" s="17"/>
      <c r="I39" s="20"/>
      <c r="K39" s="22">
        <v>44760.612361111111</v>
      </c>
      <c r="L39" s="23" t="s">
        <v>54</v>
      </c>
      <c r="M39" s="23" t="s">
        <v>26</v>
      </c>
      <c r="N39" s="23">
        <v>0</v>
      </c>
      <c r="O39" s="23">
        <v>2000</v>
      </c>
      <c r="P39" s="23">
        <v>2000</v>
      </c>
      <c r="Q39" s="24"/>
    </row>
    <row r="40" spans="1:17">
      <c r="A40" s="18" t="s">
        <v>80</v>
      </c>
      <c r="B40" s="18" t="s">
        <v>46</v>
      </c>
      <c r="C40" s="17" t="s">
        <v>52</v>
      </c>
      <c r="D40" s="19"/>
      <c r="E40" s="17">
        <v>0</v>
      </c>
      <c r="F40" s="17"/>
      <c r="G40" s="17">
        <f t="shared" si="0"/>
        <v>0</v>
      </c>
      <c r="H40" s="17"/>
      <c r="I40" s="20"/>
      <c r="K40" s="22">
        <v>44760.611990740741</v>
      </c>
      <c r="L40" s="23" t="s">
        <v>54</v>
      </c>
      <c r="M40" s="23" t="s">
        <v>24</v>
      </c>
      <c r="N40" s="23">
        <v>0</v>
      </c>
      <c r="O40" s="23">
        <v>1500</v>
      </c>
      <c r="P40" s="23">
        <v>1500</v>
      </c>
      <c r="Q40" s="24"/>
    </row>
    <row r="41" spans="1:17">
      <c r="A41" s="18" t="s">
        <v>80</v>
      </c>
      <c r="B41" s="18" t="s">
        <v>47</v>
      </c>
      <c r="C41" s="17" t="s">
        <v>52</v>
      </c>
      <c r="D41" s="19"/>
      <c r="E41" s="17">
        <v>0</v>
      </c>
      <c r="F41" s="17"/>
      <c r="G41" s="17">
        <f t="shared" si="0"/>
        <v>0</v>
      </c>
      <c r="H41" s="17"/>
      <c r="I41" s="20"/>
      <c r="K41" s="22">
        <v>44757.658680555556</v>
      </c>
      <c r="L41" s="26" t="s">
        <v>54</v>
      </c>
      <c r="M41" s="26" t="s">
        <v>16</v>
      </c>
      <c r="N41" s="26">
        <v>0</v>
      </c>
      <c r="O41" s="26">
        <v>-12</v>
      </c>
      <c r="P41" s="24">
        <v>0</v>
      </c>
      <c r="Q41" s="24"/>
    </row>
    <row r="42" spans="1:17">
      <c r="A42" s="18" t="s">
        <v>80</v>
      </c>
      <c r="B42" s="18" t="s">
        <v>48</v>
      </c>
      <c r="C42" s="17" t="s">
        <v>52</v>
      </c>
      <c r="D42" s="19"/>
      <c r="E42" s="17">
        <v>0</v>
      </c>
      <c r="F42" s="17"/>
      <c r="G42" s="17">
        <f t="shared" si="0"/>
        <v>0</v>
      </c>
      <c r="H42" s="17"/>
      <c r="I42" s="20"/>
      <c r="K42" s="22">
        <v>44756.701099537036</v>
      </c>
      <c r="L42" s="26" t="s">
        <v>53</v>
      </c>
      <c r="M42" s="26" t="s">
        <v>87</v>
      </c>
      <c r="N42" s="26">
        <v>38</v>
      </c>
      <c r="O42" s="26">
        <v>6</v>
      </c>
      <c r="P42" s="24">
        <v>44</v>
      </c>
      <c r="Q42" s="24"/>
    </row>
    <row r="43" spans="1:17">
      <c r="A43" s="18" t="s">
        <v>81</v>
      </c>
      <c r="B43" s="18" t="s">
        <v>46</v>
      </c>
      <c r="C43" s="17" t="s">
        <v>52</v>
      </c>
      <c r="D43" s="19"/>
      <c r="E43" s="17">
        <v>0</v>
      </c>
      <c r="F43" s="17"/>
      <c r="G43" s="17">
        <f t="shared" si="0"/>
        <v>0</v>
      </c>
      <c r="H43" s="17"/>
      <c r="I43" s="20"/>
      <c r="K43" s="22">
        <v>44756.701099537036</v>
      </c>
      <c r="L43" s="26" t="s">
        <v>52</v>
      </c>
      <c r="M43" s="26" t="s">
        <v>159</v>
      </c>
      <c r="N43" s="26">
        <v>38</v>
      </c>
      <c r="O43" s="26">
        <v>13</v>
      </c>
      <c r="P43" s="24">
        <v>51</v>
      </c>
      <c r="Q43" s="24"/>
    </row>
    <row r="44" spans="1:17">
      <c r="A44" s="18" t="s">
        <v>81</v>
      </c>
      <c r="B44" s="18" t="s">
        <v>47</v>
      </c>
      <c r="C44" s="17" t="s">
        <v>52</v>
      </c>
      <c r="D44" s="19"/>
      <c r="E44" s="17">
        <v>0</v>
      </c>
      <c r="F44" s="17"/>
      <c r="G44" s="17">
        <f t="shared" si="0"/>
        <v>0</v>
      </c>
      <c r="H44" s="17"/>
      <c r="I44" s="20"/>
      <c r="K44" s="22"/>
      <c r="L44" s="23"/>
      <c r="M44" s="23"/>
      <c r="N44" s="23"/>
      <c r="O44" s="23"/>
      <c r="P44" s="23"/>
      <c r="Q44" s="24"/>
    </row>
    <row r="45" spans="1:17">
      <c r="A45" s="18" t="s">
        <v>81</v>
      </c>
      <c r="B45" s="18" t="s">
        <v>48</v>
      </c>
      <c r="C45" s="17" t="s">
        <v>52</v>
      </c>
      <c r="D45" s="19"/>
      <c r="E45" s="17">
        <v>0</v>
      </c>
      <c r="F45" s="17"/>
      <c r="G45" s="17">
        <f t="shared" si="0"/>
        <v>0</v>
      </c>
      <c r="H45" s="17"/>
      <c r="I45" s="20"/>
      <c r="K45" s="22"/>
      <c r="L45" s="23"/>
      <c r="M45" s="23"/>
      <c r="N45" s="23"/>
      <c r="O45" s="23"/>
      <c r="P45" s="23"/>
      <c r="Q45" s="24"/>
    </row>
    <row r="46" spans="1:17">
      <c r="A46" s="18" t="s">
        <v>82</v>
      </c>
      <c r="B46" s="18" t="s">
        <v>46</v>
      </c>
      <c r="C46" s="17" t="s">
        <v>52</v>
      </c>
      <c r="D46" s="19"/>
      <c r="E46" s="17">
        <v>0</v>
      </c>
      <c r="F46" s="17"/>
      <c r="G46" s="17">
        <f t="shared" si="0"/>
        <v>0</v>
      </c>
      <c r="H46" s="17"/>
      <c r="I46" s="20"/>
      <c r="K46" s="22"/>
      <c r="L46" s="23"/>
      <c r="M46" s="23"/>
      <c r="N46" s="23"/>
      <c r="O46" s="23"/>
      <c r="P46" s="23"/>
      <c r="Q46" s="24"/>
    </row>
    <row r="47" spans="1:17">
      <c r="A47" s="18" t="s">
        <v>82</v>
      </c>
      <c r="B47" s="18" t="s">
        <v>47</v>
      </c>
      <c r="C47" s="17" t="s">
        <v>52</v>
      </c>
      <c r="D47" s="19"/>
      <c r="E47" s="17">
        <v>0</v>
      </c>
      <c r="F47" s="17"/>
      <c r="G47" s="17">
        <f t="shared" si="0"/>
        <v>0</v>
      </c>
      <c r="H47" s="17"/>
      <c r="I47" s="20"/>
      <c r="K47" s="22"/>
      <c r="L47" s="23"/>
      <c r="M47" s="23"/>
      <c r="N47" s="23"/>
      <c r="O47" s="23"/>
      <c r="P47" s="23"/>
      <c r="Q47" s="24"/>
    </row>
    <row r="48" spans="1:17">
      <c r="A48" s="18" t="s">
        <v>82</v>
      </c>
      <c r="B48" s="18" t="s">
        <v>48</v>
      </c>
      <c r="C48" s="17" t="s">
        <v>52</v>
      </c>
      <c r="D48" s="19"/>
      <c r="E48" s="17">
        <v>0</v>
      </c>
      <c r="F48" s="17"/>
      <c r="G48" s="17">
        <f t="shared" si="0"/>
        <v>0</v>
      </c>
      <c r="H48" s="17"/>
      <c r="I48" s="20"/>
      <c r="K48" s="22"/>
      <c r="L48" s="23"/>
      <c r="M48" s="23"/>
      <c r="N48" s="23"/>
      <c r="O48" s="23"/>
      <c r="P48" s="23"/>
      <c r="Q48" s="24"/>
    </row>
    <row r="49" spans="1:17">
      <c r="A49" s="18" t="s">
        <v>83</v>
      </c>
      <c r="B49" s="18" t="s">
        <v>46</v>
      </c>
      <c r="C49" s="17" t="s">
        <v>52</v>
      </c>
      <c r="D49" s="19"/>
      <c r="E49" s="17">
        <v>0</v>
      </c>
      <c r="F49" s="17"/>
      <c r="G49" s="17">
        <f t="shared" si="0"/>
        <v>0</v>
      </c>
      <c r="H49" s="17"/>
      <c r="I49" s="20"/>
      <c r="K49" s="22"/>
      <c r="L49" s="23"/>
      <c r="M49" s="23"/>
      <c r="N49" s="23"/>
      <c r="O49" s="23"/>
      <c r="P49" s="23"/>
      <c r="Q49" s="24"/>
    </row>
    <row r="50" spans="1:17">
      <c r="A50" s="18" t="s">
        <v>83</v>
      </c>
      <c r="B50" s="18" t="s">
        <v>47</v>
      </c>
      <c r="C50" s="17" t="s">
        <v>52</v>
      </c>
      <c r="D50" s="19"/>
      <c r="E50" s="17">
        <v>0</v>
      </c>
      <c r="F50" s="17"/>
      <c r="G50" s="17">
        <f t="shared" si="0"/>
        <v>0</v>
      </c>
      <c r="H50" s="17"/>
      <c r="I50" s="20"/>
      <c r="J50" s="26"/>
      <c r="K50" s="22"/>
      <c r="L50" s="23"/>
      <c r="M50" s="23"/>
      <c r="N50" s="23"/>
      <c r="O50" s="23"/>
      <c r="P50" s="23"/>
      <c r="Q50" s="24"/>
    </row>
    <row r="51" spans="1:17">
      <c r="A51" s="18" t="s">
        <v>83</v>
      </c>
      <c r="B51" s="18" t="s">
        <v>48</v>
      </c>
      <c r="C51" s="17" t="s">
        <v>52</v>
      </c>
      <c r="D51" s="19"/>
      <c r="E51" s="17">
        <v>0</v>
      </c>
      <c r="F51" s="17"/>
      <c r="G51" s="17">
        <f t="shared" si="0"/>
        <v>0</v>
      </c>
      <c r="H51" s="17"/>
      <c r="I51" s="20"/>
      <c r="J51" s="26"/>
      <c r="K51" s="22"/>
      <c r="L51" s="23"/>
      <c r="M51" s="23"/>
      <c r="N51" s="23"/>
      <c r="O51" s="23"/>
      <c r="P51" s="23"/>
      <c r="Q51" s="24"/>
    </row>
    <row r="52" spans="1:17">
      <c r="A52" s="18" t="s">
        <v>84</v>
      </c>
      <c r="B52" s="18" t="s">
        <v>46</v>
      </c>
      <c r="C52" s="17" t="s">
        <v>52</v>
      </c>
      <c r="D52" s="19"/>
      <c r="E52" s="17">
        <v>0</v>
      </c>
      <c r="F52" s="17"/>
      <c r="G52" s="17">
        <f t="shared" si="0"/>
        <v>0</v>
      </c>
      <c r="H52" s="17"/>
      <c r="I52" s="20"/>
      <c r="J52" s="26"/>
      <c r="K52" s="22"/>
      <c r="L52" s="23"/>
      <c r="M52" s="23"/>
      <c r="N52" s="23"/>
      <c r="O52" s="23"/>
      <c r="P52" s="23"/>
      <c r="Q52" s="24"/>
    </row>
    <row r="53" spans="1:17">
      <c r="A53" s="18" t="s">
        <v>84</v>
      </c>
      <c r="B53" s="18" t="s">
        <v>47</v>
      </c>
      <c r="C53" s="17" t="s">
        <v>52</v>
      </c>
      <c r="D53" s="19"/>
      <c r="E53" s="17">
        <v>0</v>
      </c>
      <c r="F53" s="17"/>
      <c r="G53" s="17">
        <f t="shared" si="0"/>
        <v>0</v>
      </c>
      <c r="H53" s="17"/>
      <c r="I53" s="20"/>
      <c r="J53" s="26"/>
      <c r="K53" s="22"/>
      <c r="L53" s="23"/>
      <c r="M53" s="23"/>
      <c r="N53" s="23"/>
      <c r="O53" s="23"/>
      <c r="P53" s="23"/>
      <c r="Q53" s="24"/>
    </row>
    <row r="54" spans="1:17">
      <c r="A54" s="18" t="s">
        <v>84</v>
      </c>
      <c r="B54" s="18" t="s">
        <v>48</v>
      </c>
      <c r="C54" s="17" t="s">
        <v>52</v>
      </c>
      <c r="D54" s="19"/>
      <c r="E54" s="17">
        <v>0</v>
      </c>
      <c r="F54" s="17"/>
      <c r="G54" s="17">
        <f t="shared" si="0"/>
        <v>0</v>
      </c>
      <c r="H54" s="17"/>
      <c r="I54" s="20"/>
      <c r="J54" s="26"/>
      <c r="K54" s="22"/>
      <c r="L54" s="23"/>
      <c r="M54" s="23"/>
      <c r="N54" s="23"/>
      <c r="O54" s="23"/>
      <c r="P54" s="23"/>
      <c r="Q54" s="24"/>
    </row>
    <row r="55" spans="1:17">
      <c r="A55" s="18" t="s">
        <v>85</v>
      </c>
      <c r="B55" s="18" t="s">
        <v>46</v>
      </c>
      <c r="C55" s="17" t="s">
        <v>52</v>
      </c>
      <c r="D55" s="19"/>
      <c r="E55" s="17">
        <v>0</v>
      </c>
      <c r="F55" s="17"/>
      <c r="G55" s="17">
        <f t="shared" si="0"/>
        <v>0</v>
      </c>
      <c r="H55" s="17"/>
      <c r="I55" s="20"/>
      <c r="J55" s="26"/>
      <c r="K55" s="22"/>
      <c r="L55" s="23"/>
      <c r="M55" s="23"/>
      <c r="N55" s="23"/>
      <c r="O55" s="23"/>
      <c r="P55" s="23"/>
      <c r="Q55" s="24"/>
    </row>
    <row r="56" spans="1:17">
      <c r="A56" s="18" t="s">
        <v>85</v>
      </c>
      <c r="B56" s="18" t="s">
        <v>47</v>
      </c>
      <c r="C56" s="17" t="s">
        <v>52</v>
      </c>
      <c r="D56" s="19"/>
      <c r="E56" s="17">
        <v>0</v>
      </c>
      <c r="F56" s="17"/>
      <c r="G56" s="17">
        <f t="shared" si="0"/>
        <v>0</v>
      </c>
      <c r="H56" s="17"/>
      <c r="I56" s="20"/>
      <c r="J56" s="26"/>
      <c r="K56" s="22"/>
      <c r="L56" s="23"/>
      <c r="M56" s="23"/>
      <c r="N56" s="23"/>
      <c r="O56" s="23"/>
      <c r="P56" s="23"/>
      <c r="Q56" s="24"/>
    </row>
    <row r="57" spans="1:17">
      <c r="A57" s="18" t="s">
        <v>85</v>
      </c>
      <c r="B57" s="18" t="s">
        <v>48</v>
      </c>
      <c r="C57" s="17" t="s">
        <v>52</v>
      </c>
      <c r="D57" s="19"/>
      <c r="E57" s="17">
        <v>0</v>
      </c>
      <c r="F57" s="17"/>
      <c r="G57" s="17">
        <f t="shared" si="0"/>
        <v>0</v>
      </c>
      <c r="H57" s="17"/>
      <c r="I57" s="20"/>
      <c r="J57" s="26"/>
      <c r="K57" s="22"/>
      <c r="L57" s="23"/>
      <c r="M57" s="23"/>
      <c r="N57" s="23"/>
      <c r="O57" s="23"/>
      <c r="P57" s="23"/>
      <c r="Q57" s="24"/>
    </row>
    <row r="58" spans="1:17">
      <c r="A58" s="18" t="s">
        <v>86</v>
      </c>
      <c r="B58" s="18" t="s">
        <v>46</v>
      </c>
      <c r="C58" s="17" t="s">
        <v>52</v>
      </c>
      <c r="D58" s="19"/>
      <c r="E58" s="17">
        <v>0</v>
      </c>
      <c r="F58" s="17"/>
      <c r="G58" s="17">
        <f t="shared" si="0"/>
        <v>0</v>
      </c>
      <c r="H58" s="17"/>
      <c r="I58" s="20"/>
      <c r="J58" s="26"/>
      <c r="K58" s="22"/>
      <c r="L58" s="23"/>
      <c r="M58" s="23"/>
      <c r="N58" s="23"/>
      <c r="O58" s="23"/>
      <c r="P58" s="23"/>
      <c r="Q58" s="24"/>
    </row>
    <row r="59" spans="1:17">
      <c r="A59" s="18" t="s">
        <v>86</v>
      </c>
      <c r="B59" s="18" t="s">
        <v>47</v>
      </c>
      <c r="C59" s="17" t="s">
        <v>52</v>
      </c>
      <c r="D59" s="19"/>
      <c r="E59" s="17">
        <v>0</v>
      </c>
      <c r="F59" s="17"/>
      <c r="G59" s="17">
        <f t="shared" si="0"/>
        <v>0</v>
      </c>
      <c r="H59" s="17"/>
      <c r="I59" s="20"/>
      <c r="J59" s="26"/>
      <c r="K59" s="22"/>
      <c r="L59" s="23"/>
      <c r="M59" s="23"/>
      <c r="N59" s="23"/>
      <c r="O59" s="23"/>
      <c r="P59" s="23"/>
      <c r="Q59" s="24"/>
    </row>
    <row r="60" spans="1:17">
      <c r="A60" s="18" t="s">
        <v>86</v>
      </c>
      <c r="B60" s="18" t="s">
        <v>48</v>
      </c>
      <c r="C60" s="17" t="s">
        <v>52</v>
      </c>
      <c r="D60" s="19"/>
      <c r="E60" s="17">
        <v>0</v>
      </c>
      <c r="F60" s="17"/>
      <c r="G60" s="17">
        <f t="shared" si="0"/>
        <v>0</v>
      </c>
      <c r="H60" s="17"/>
      <c r="I60" s="20"/>
      <c r="J60" s="26"/>
      <c r="K60" s="22"/>
      <c r="L60" s="23"/>
      <c r="M60" s="23"/>
      <c r="N60" s="23"/>
      <c r="O60" s="23"/>
      <c r="P60" s="23"/>
      <c r="Q60" s="24"/>
    </row>
    <row r="61" spans="1:17">
      <c r="A61" s="18" t="s">
        <v>78</v>
      </c>
      <c r="B61" s="18" t="s">
        <v>94</v>
      </c>
      <c r="C61" s="17" t="s">
        <v>52</v>
      </c>
      <c r="D61" s="19"/>
      <c r="E61" s="17">
        <v>0</v>
      </c>
      <c r="F61" s="17"/>
      <c r="G61" s="17">
        <f t="shared" si="0"/>
        <v>0</v>
      </c>
      <c r="H61" s="17"/>
      <c r="I61" s="20"/>
      <c r="K61" s="22"/>
      <c r="L61" s="23"/>
      <c r="M61" s="23"/>
      <c r="N61" s="23"/>
      <c r="O61" s="23"/>
      <c r="P61" s="23"/>
      <c r="Q61" s="24"/>
    </row>
    <row r="62" spans="1:17">
      <c r="A62" s="18" t="s">
        <v>87</v>
      </c>
      <c r="B62" s="18" t="s">
        <v>63</v>
      </c>
      <c r="C62" s="17" t="s">
        <v>53</v>
      </c>
      <c r="D62" s="19"/>
      <c r="E62" s="17">
        <v>0</v>
      </c>
      <c r="F62" s="17"/>
      <c r="G62" s="17">
        <f t="shared" si="0"/>
        <v>0</v>
      </c>
      <c r="H62" s="17"/>
      <c r="I62" s="20"/>
      <c r="K62" s="22"/>
      <c r="L62" s="23"/>
      <c r="M62" s="23"/>
      <c r="N62" s="23"/>
      <c r="O62" s="23"/>
      <c r="P62" s="23"/>
      <c r="Q62" s="24"/>
    </row>
    <row r="63" spans="1:17">
      <c r="A63" s="18" t="s">
        <v>87</v>
      </c>
      <c r="B63" s="18" t="s">
        <v>88</v>
      </c>
      <c r="C63" s="17" t="s">
        <v>53</v>
      </c>
      <c r="D63" s="19"/>
      <c r="E63" s="17">
        <v>0</v>
      </c>
      <c r="F63" s="17"/>
      <c r="G63" s="17">
        <f t="shared" si="0"/>
        <v>0</v>
      </c>
      <c r="H63" s="17"/>
      <c r="I63" s="20"/>
      <c r="K63" s="22"/>
      <c r="L63" s="23"/>
      <c r="M63" s="23"/>
      <c r="N63" s="23"/>
      <c r="O63" s="23"/>
      <c r="P63" s="23"/>
      <c r="Q63" s="24"/>
    </row>
    <row r="64" spans="1:17">
      <c r="A64" s="18" t="s">
        <v>87</v>
      </c>
      <c r="B64" s="18" t="s">
        <v>89</v>
      </c>
      <c r="C64" s="17" t="s">
        <v>53</v>
      </c>
      <c r="D64" s="19"/>
      <c r="E64" s="17">
        <v>0</v>
      </c>
      <c r="F64" s="17"/>
      <c r="G64" s="17">
        <f t="shared" si="0"/>
        <v>0</v>
      </c>
      <c r="H64" s="17"/>
      <c r="I64" s="20"/>
      <c r="K64" s="22"/>
      <c r="L64" s="23"/>
      <c r="M64" s="23"/>
      <c r="N64" s="23"/>
      <c r="O64" s="23"/>
      <c r="P64" s="23"/>
      <c r="Q64" s="24"/>
    </row>
    <row r="65" spans="1:17">
      <c r="A65" s="18" t="s">
        <v>61</v>
      </c>
      <c r="B65" s="18" t="s">
        <v>4</v>
      </c>
      <c r="C65" s="17" t="s">
        <v>53</v>
      </c>
      <c r="D65" s="19"/>
      <c r="E65" s="17">
        <v>0</v>
      </c>
      <c r="F65" s="17"/>
      <c r="G65" s="17">
        <f t="shared" si="0"/>
        <v>0</v>
      </c>
      <c r="H65" s="17"/>
      <c r="K65" s="22"/>
      <c r="L65" s="23"/>
      <c r="M65" s="23"/>
      <c r="N65" s="23"/>
      <c r="O65" s="23"/>
      <c r="P65" s="23"/>
      <c r="Q65" s="24"/>
    </row>
    <row r="66" spans="1:17">
      <c r="A66" s="18" t="s">
        <v>62</v>
      </c>
      <c r="B66" s="18" t="s">
        <v>4</v>
      </c>
      <c r="C66" s="17" t="s">
        <v>53</v>
      </c>
      <c r="D66" s="19"/>
      <c r="E66" s="17">
        <v>0</v>
      </c>
      <c r="F66" s="17"/>
      <c r="G66" s="17">
        <f t="shared" ref="G66" si="1">E66-F66</f>
        <v>0</v>
      </c>
      <c r="H66" s="17"/>
      <c r="K66" s="22"/>
      <c r="L66" s="23"/>
      <c r="M66" s="23"/>
      <c r="N66" s="23"/>
      <c r="O66" s="23"/>
      <c r="P66" s="23"/>
      <c r="Q66" s="24"/>
    </row>
    <row r="67" spans="1: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2"/>
      <c r="L395" s="23"/>
      <c r="M395" s="23"/>
      <c r="N395" s="23"/>
      <c r="O395" s="23"/>
      <c r="P395" s="23"/>
      <c r="Q395" s="24"/>
    </row>
    <row r="396" spans="11:17">
      <c r="K396" s="22"/>
      <c r="L396" s="23"/>
      <c r="M396" s="23"/>
      <c r="N396" s="23"/>
      <c r="O396" s="23"/>
      <c r="P396" s="23"/>
      <c r="Q396" s="24"/>
    </row>
    <row r="397" spans="11:17">
      <c r="K397" s="22"/>
      <c r="L397" s="23"/>
      <c r="M397" s="23"/>
      <c r="N397" s="23"/>
      <c r="O397" s="23"/>
      <c r="P397" s="23"/>
      <c r="Q397" s="24"/>
    </row>
    <row r="398" spans="11:17">
      <c r="K398" s="22"/>
      <c r="L398" s="23"/>
      <c r="M398" s="23"/>
      <c r="N398" s="23"/>
      <c r="O398" s="23"/>
      <c r="P398" s="23"/>
      <c r="Q398" s="24"/>
    </row>
    <row r="399" spans="11:17">
      <c r="K399" s="22"/>
      <c r="L399" s="23"/>
      <c r="M399" s="23"/>
      <c r="N399" s="23"/>
      <c r="O399" s="23"/>
      <c r="P399" s="23"/>
      <c r="Q399" s="24"/>
    </row>
    <row r="400" spans="11:17">
      <c r="K400" s="22"/>
      <c r="L400" s="23"/>
      <c r="M400" s="23"/>
      <c r="N400" s="23"/>
      <c r="O400" s="23"/>
      <c r="P400" s="23"/>
      <c r="Q400" s="24"/>
    </row>
    <row r="401" spans="11:17">
      <c r="K401" s="22"/>
      <c r="L401" s="23"/>
      <c r="M401" s="23"/>
      <c r="N401" s="23"/>
      <c r="O401" s="23"/>
      <c r="P401" s="23"/>
      <c r="Q401" s="24"/>
    </row>
    <row r="402" spans="11:17">
      <c r="K402" s="22"/>
      <c r="L402" s="23"/>
      <c r="M402" s="23"/>
      <c r="N402" s="23"/>
      <c r="O402" s="23"/>
      <c r="P402" s="23"/>
      <c r="Q402" s="24"/>
    </row>
    <row r="403" spans="11:17">
      <c r="K403" s="22"/>
      <c r="L403" s="23"/>
      <c r="M403" s="23"/>
      <c r="N403" s="23"/>
      <c r="O403" s="23"/>
      <c r="P403" s="23"/>
      <c r="Q403" s="24"/>
    </row>
    <row r="404" spans="11:17">
      <c r="K404" s="22"/>
      <c r="L404" s="23"/>
      <c r="M404" s="23"/>
      <c r="N404" s="23"/>
      <c r="O404" s="23"/>
      <c r="P404" s="23"/>
      <c r="Q404" s="24"/>
    </row>
    <row r="405" spans="11:17">
      <c r="K405" s="22"/>
      <c r="L405" s="23"/>
      <c r="M405" s="23"/>
      <c r="N405" s="23"/>
      <c r="O405" s="23"/>
      <c r="P405" s="23"/>
      <c r="Q405" s="24"/>
    </row>
    <row r="406" spans="11:17">
      <c r="K406" s="22"/>
      <c r="L406" s="23"/>
      <c r="M406" s="23"/>
      <c r="N406" s="23"/>
      <c r="O406" s="23"/>
      <c r="P406" s="23"/>
      <c r="Q406" s="24"/>
    </row>
    <row r="407" spans="11:17">
      <c r="K407" s="22"/>
      <c r="L407" s="23"/>
      <c r="M407" s="23"/>
      <c r="N407" s="23"/>
      <c r="O407" s="23"/>
      <c r="P407" s="23"/>
      <c r="Q407" s="24"/>
    </row>
    <row r="408" spans="11:17">
      <c r="K408" s="22"/>
      <c r="L408" s="23"/>
      <c r="M408" s="23"/>
      <c r="N408" s="23"/>
      <c r="O408" s="23"/>
      <c r="P408" s="23"/>
      <c r="Q408" s="24"/>
    </row>
    <row r="409" spans="11:17">
      <c r="K409" s="22"/>
      <c r="L409" s="23"/>
      <c r="M409" s="23"/>
      <c r="N409" s="23"/>
      <c r="O409" s="23"/>
      <c r="P409" s="23"/>
      <c r="Q409" s="24"/>
    </row>
    <row r="410" spans="11:17">
      <c r="K410" s="22"/>
      <c r="L410" s="23"/>
      <c r="M410" s="23"/>
      <c r="N410" s="23"/>
      <c r="O410" s="23"/>
      <c r="P410" s="23"/>
      <c r="Q410" s="24"/>
    </row>
    <row r="411" spans="11:17">
      <c r="K411" s="22"/>
      <c r="L411" s="23"/>
      <c r="M411" s="23"/>
      <c r="N411" s="23"/>
      <c r="O411" s="23"/>
      <c r="P411" s="23"/>
      <c r="Q411" s="24"/>
    </row>
    <row r="412" spans="11:17">
      <c r="K412" s="22"/>
      <c r="L412" s="23"/>
      <c r="M412" s="23"/>
      <c r="N412" s="23"/>
      <c r="O412" s="23"/>
      <c r="P412" s="23"/>
      <c r="Q412" s="24"/>
    </row>
    <row r="413" spans="11:17">
      <c r="K413" s="22"/>
      <c r="L413" s="23"/>
      <c r="M413" s="23"/>
      <c r="N413" s="23"/>
      <c r="O413" s="23"/>
      <c r="P413" s="23"/>
      <c r="Q413" s="24"/>
    </row>
    <row r="414" spans="11:17">
      <c r="K414" s="22"/>
      <c r="L414" s="23"/>
      <c r="M414" s="23"/>
      <c r="N414" s="23"/>
      <c r="O414" s="23"/>
      <c r="P414" s="23"/>
      <c r="Q414" s="24"/>
    </row>
    <row r="415" spans="11:17">
      <c r="K415" s="22"/>
      <c r="L415" s="23"/>
      <c r="M415" s="23"/>
      <c r="N415" s="23"/>
      <c r="O415" s="23"/>
      <c r="P415" s="23"/>
      <c r="Q415" s="24"/>
    </row>
    <row r="416" spans="11:17">
      <c r="K416" s="22"/>
      <c r="L416" s="23"/>
      <c r="M416" s="23"/>
      <c r="N416" s="23"/>
      <c r="O416" s="23"/>
      <c r="P416" s="23"/>
      <c r="Q416" s="24"/>
    </row>
    <row r="417" spans="11:17">
      <c r="K417" s="22"/>
      <c r="L417" s="23"/>
      <c r="M417" s="23"/>
      <c r="N417" s="23"/>
      <c r="O417" s="23"/>
      <c r="P417" s="23"/>
      <c r="Q417" s="24"/>
    </row>
    <row r="418" spans="11:17">
      <c r="K418" s="22"/>
      <c r="L418" s="23"/>
      <c r="M418" s="23"/>
      <c r="N418" s="23"/>
      <c r="O418" s="23"/>
      <c r="P418" s="23"/>
      <c r="Q418" s="24"/>
    </row>
    <row r="419" spans="11:17">
      <c r="K419" s="22"/>
      <c r="L419" s="23"/>
      <c r="M419" s="23"/>
      <c r="N419" s="23"/>
      <c r="O419" s="23"/>
      <c r="P419" s="23"/>
      <c r="Q419" s="24"/>
    </row>
    <row r="420" spans="11:17">
      <c r="K420" s="22"/>
      <c r="L420" s="23"/>
      <c r="M420" s="23"/>
      <c r="N420" s="23"/>
      <c r="O420" s="23"/>
      <c r="P420" s="23"/>
      <c r="Q420" s="24"/>
    </row>
    <row r="421" spans="11:17">
      <c r="K421" s="22"/>
      <c r="L421" s="23"/>
      <c r="M421" s="23"/>
      <c r="N421" s="23"/>
      <c r="O421" s="23"/>
      <c r="P421" s="23"/>
      <c r="Q421" s="24"/>
    </row>
    <row r="422" spans="11:17">
      <c r="K422" s="22"/>
      <c r="L422" s="23"/>
      <c r="M422" s="23"/>
      <c r="N422" s="23"/>
      <c r="O422" s="23"/>
      <c r="P422" s="23"/>
      <c r="Q422" s="24"/>
    </row>
    <row r="423" spans="11:17">
      <c r="K423" s="22"/>
      <c r="L423" s="23"/>
      <c r="M423" s="23"/>
      <c r="N423" s="23"/>
      <c r="O423" s="23"/>
      <c r="P423" s="23"/>
      <c r="Q423" s="24"/>
    </row>
    <row r="424" spans="11:17">
      <c r="K424" s="22"/>
      <c r="L424" s="23"/>
      <c r="M424" s="23"/>
      <c r="N424" s="23"/>
      <c r="O424" s="23"/>
      <c r="P424" s="23"/>
      <c r="Q424" s="24"/>
    </row>
    <row r="425" spans="11:17">
      <c r="K425" s="22"/>
      <c r="L425" s="23"/>
      <c r="M425" s="23"/>
      <c r="N425" s="23"/>
      <c r="O425" s="23"/>
      <c r="P425" s="23"/>
      <c r="Q425" s="24"/>
    </row>
    <row r="426" spans="11:17">
      <c r="K426" s="22"/>
      <c r="L426" s="23"/>
      <c r="M426" s="23"/>
      <c r="N426" s="23"/>
      <c r="O426" s="23"/>
      <c r="P426" s="23"/>
      <c r="Q426" s="24"/>
    </row>
    <row r="427" spans="11:17">
      <c r="K427" s="22"/>
      <c r="L427" s="23"/>
      <c r="M427" s="23"/>
      <c r="N427" s="23"/>
      <c r="O427" s="23"/>
      <c r="P427" s="23"/>
      <c r="Q427" s="24"/>
    </row>
    <row r="428" spans="11:17" ht="13.9">
      <c r="K428" s="27"/>
      <c r="L428" s="23"/>
      <c r="M428" s="23"/>
      <c r="N428" s="23"/>
      <c r="O428" s="23"/>
      <c r="P428" s="23"/>
      <c r="Q428" s="24"/>
    </row>
    <row r="429" spans="11:17" ht="13.9">
      <c r="K429" s="27"/>
      <c r="L429" s="23"/>
      <c r="M429" s="23"/>
      <c r="N429" s="23"/>
      <c r="O429" s="23"/>
      <c r="P429" s="23"/>
      <c r="Q429" s="24"/>
    </row>
    <row r="430" spans="11:17" ht="13.9">
      <c r="K430" s="27"/>
      <c r="L430" s="23"/>
      <c r="M430" s="23"/>
      <c r="N430" s="23"/>
      <c r="O430" s="23"/>
      <c r="P430" s="23"/>
      <c r="Q430" s="24"/>
    </row>
    <row r="431" spans="11:17" ht="13.9">
      <c r="K431" s="27"/>
      <c r="L431" s="23"/>
      <c r="M431" s="23"/>
      <c r="N431" s="23"/>
      <c r="O431" s="23"/>
      <c r="P431" s="23"/>
      <c r="Q431" s="24"/>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7"/>
      <c r="L440" s="21"/>
      <c r="M440" s="21"/>
      <c r="N440" s="21"/>
      <c r="O440" s="21"/>
      <c r="P440" s="21"/>
      <c r="Q440" s="28"/>
    </row>
    <row r="441" spans="11:17" ht="13.9">
      <c r="K441" s="27"/>
      <c r="L441" s="21"/>
      <c r="M441" s="21"/>
      <c r="N441" s="21"/>
      <c r="O441" s="21"/>
      <c r="P441" s="21"/>
      <c r="Q441" s="28"/>
    </row>
    <row r="442" spans="11:17" ht="13.9">
      <c r="K442" s="27"/>
      <c r="L442" s="21"/>
      <c r="M442" s="21"/>
      <c r="N442" s="21"/>
      <c r="O442" s="21"/>
      <c r="P442" s="21"/>
      <c r="Q442" s="28"/>
    </row>
    <row r="443" spans="11:17" ht="13.9">
      <c r="K443" s="27"/>
      <c r="L443" s="21"/>
      <c r="M443" s="21"/>
      <c r="N443" s="21"/>
      <c r="O443" s="21"/>
      <c r="P443" s="21"/>
      <c r="Q443" s="28"/>
    </row>
    <row r="444" spans="11:17" ht="13.9">
      <c r="K444" s="27"/>
      <c r="L444" s="21"/>
      <c r="M444" s="21"/>
      <c r="N444" s="21"/>
      <c r="O444" s="21"/>
      <c r="P444" s="21"/>
      <c r="Q444" s="28"/>
    </row>
    <row r="445" spans="11:17" ht="13.9">
      <c r="K445" s="27"/>
      <c r="L445" s="21"/>
      <c r="M445" s="21"/>
      <c r="N445" s="21"/>
      <c r="O445" s="21"/>
      <c r="P445" s="21"/>
      <c r="Q445" s="28"/>
    </row>
    <row r="446" spans="11:17" ht="13.9">
      <c r="K446" s="27"/>
      <c r="L446" s="21"/>
      <c r="M446" s="21"/>
      <c r="N446" s="21"/>
      <c r="O446" s="21"/>
      <c r="P446" s="21"/>
      <c r="Q446" s="28"/>
    </row>
    <row r="447" spans="11:17" ht="13.9">
      <c r="K447" s="27"/>
      <c r="L447" s="21"/>
      <c r="M447" s="21"/>
      <c r="N447" s="21"/>
      <c r="O447" s="21"/>
      <c r="P447" s="21"/>
      <c r="Q447" s="28"/>
    </row>
    <row r="448" spans="11:17" ht="13.9">
      <c r="K448" s="27"/>
      <c r="L448" s="21"/>
      <c r="M448" s="21"/>
      <c r="N448" s="21"/>
      <c r="O448" s="21"/>
      <c r="P448" s="21"/>
      <c r="Q448" s="28"/>
    </row>
    <row r="449" spans="11:17" ht="13.9">
      <c r="K449" s="27"/>
      <c r="L449" s="21"/>
      <c r="M449" s="21"/>
      <c r="N449" s="21"/>
      <c r="O449" s="21"/>
      <c r="P449" s="21"/>
      <c r="Q449" s="28"/>
    </row>
    <row r="450" spans="11:17" ht="13.9">
      <c r="K450" s="27"/>
      <c r="L450" s="21"/>
      <c r="M450" s="21"/>
      <c r="N450" s="21"/>
      <c r="O450" s="21"/>
      <c r="P450" s="21"/>
      <c r="Q450" s="28"/>
    </row>
    <row r="451" spans="11:17" ht="13.9">
      <c r="K451" s="27"/>
      <c r="L451" s="21"/>
      <c r="M451" s="21"/>
      <c r="N451" s="21"/>
      <c r="O451" s="21"/>
      <c r="P451" s="21"/>
      <c r="Q451" s="28"/>
    </row>
    <row r="452" spans="11:17" ht="13.9">
      <c r="K452" s="27"/>
      <c r="L452" s="21"/>
      <c r="M452" s="21"/>
      <c r="N452" s="21"/>
      <c r="O452" s="21"/>
      <c r="P452" s="21"/>
      <c r="Q452" s="28"/>
    </row>
    <row r="453" spans="11:17" ht="13.9">
      <c r="K453" s="27"/>
      <c r="L453" s="21"/>
      <c r="M453" s="21"/>
      <c r="N453" s="21"/>
      <c r="O453" s="21"/>
      <c r="P453" s="21"/>
      <c r="Q453" s="28"/>
    </row>
    <row r="454" spans="11:17" ht="13.9">
      <c r="K454" s="27"/>
      <c r="L454" s="21"/>
      <c r="M454" s="21"/>
      <c r="N454" s="21"/>
      <c r="O454" s="21"/>
      <c r="P454" s="21"/>
      <c r="Q454" s="28"/>
    </row>
    <row r="455" spans="11:17" ht="13.9">
      <c r="K455" s="27"/>
      <c r="L455" s="21"/>
      <c r="M455" s="21"/>
      <c r="N455" s="21"/>
      <c r="O455" s="21"/>
      <c r="P455" s="21"/>
      <c r="Q455" s="28"/>
    </row>
    <row r="456" spans="11:17" ht="13.9">
      <c r="K456" s="27"/>
      <c r="L456" s="21"/>
      <c r="M456" s="21"/>
      <c r="N456" s="21"/>
      <c r="O456" s="21"/>
      <c r="P456" s="21"/>
      <c r="Q456" s="28"/>
    </row>
    <row r="457" spans="11:17" ht="13.9">
      <c r="K457" s="27"/>
      <c r="L457" s="21"/>
      <c r="M457" s="21"/>
      <c r="N457" s="21"/>
      <c r="O457" s="21"/>
      <c r="P457" s="21"/>
      <c r="Q457" s="28"/>
    </row>
    <row r="458" spans="11:17" ht="13.9">
      <c r="K458" s="27"/>
      <c r="L458" s="21"/>
      <c r="M458" s="21"/>
      <c r="N458" s="21"/>
      <c r="O458" s="21"/>
      <c r="P458" s="21"/>
      <c r="Q458" s="28"/>
    </row>
    <row r="459" spans="11:17" ht="13.9">
      <c r="K459" s="27"/>
      <c r="L459" s="21"/>
      <c r="M459" s="21"/>
      <c r="N459" s="21"/>
      <c r="O459" s="21"/>
      <c r="P459" s="21"/>
      <c r="Q459" s="28"/>
    </row>
    <row r="460" spans="11:17" ht="13.9">
      <c r="K460" s="27"/>
      <c r="L460" s="21"/>
      <c r="M460" s="21"/>
      <c r="N460" s="21"/>
      <c r="O460" s="21"/>
      <c r="P460" s="21"/>
      <c r="Q460" s="28"/>
    </row>
    <row r="461" spans="11:17" ht="13.9">
      <c r="K461" s="27"/>
      <c r="L461" s="21"/>
      <c r="M461" s="21"/>
      <c r="N461" s="21"/>
      <c r="O461" s="21"/>
      <c r="P461" s="21"/>
      <c r="Q461" s="28"/>
    </row>
    <row r="462" spans="11:17" ht="13.9">
      <c r="K462" s="27"/>
      <c r="L462" s="21"/>
      <c r="M462" s="21"/>
      <c r="N462" s="21"/>
      <c r="O462" s="21"/>
      <c r="P462" s="21"/>
      <c r="Q462" s="28"/>
    </row>
    <row r="463" spans="11:17" ht="13.9">
      <c r="K463" s="27"/>
      <c r="L463" s="21"/>
      <c r="M463" s="21"/>
      <c r="N463" s="21"/>
      <c r="O463" s="21"/>
      <c r="P463" s="21"/>
      <c r="Q463" s="28"/>
    </row>
    <row r="464" spans="11:17" ht="13.9">
      <c r="K464" s="27"/>
      <c r="L464" s="21"/>
      <c r="M464" s="21"/>
      <c r="N464" s="21"/>
      <c r="O464" s="21"/>
      <c r="P464" s="21"/>
      <c r="Q464" s="28"/>
    </row>
    <row r="465" spans="11:17" ht="13.9">
      <c r="K465" s="27"/>
      <c r="L465" s="21"/>
      <c r="M465" s="21"/>
      <c r="N465" s="21"/>
      <c r="O465" s="21"/>
      <c r="P465" s="21"/>
      <c r="Q465" s="28"/>
    </row>
    <row r="466" spans="11:17" ht="13.9">
      <c r="K466" s="27"/>
      <c r="L466" s="21"/>
      <c r="M466" s="21"/>
      <c r="N466" s="21"/>
      <c r="O466" s="21"/>
      <c r="P466" s="21"/>
      <c r="Q466" s="28"/>
    </row>
    <row r="467" spans="11:17" ht="13.9">
      <c r="K467" s="27"/>
      <c r="L467" s="21"/>
      <c r="M467" s="21"/>
      <c r="N467" s="21"/>
      <c r="O467" s="21"/>
      <c r="P467" s="21"/>
      <c r="Q467" s="28"/>
    </row>
    <row r="468" spans="11:17" ht="13.9">
      <c r="K468" s="27"/>
      <c r="L468" s="21"/>
      <c r="M468" s="21"/>
      <c r="N468" s="21"/>
      <c r="O468" s="21"/>
      <c r="P468" s="21"/>
      <c r="Q468" s="28"/>
    </row>
    <row r="469" spans="11:17" ht="13.9">
      <c r="K469" s="27"/>
      <c r="L469" s="21"/>
      <c r="M469" s="21"/>
      <c r="N469" s="21"/>
      <c r="O469" s="21"/>
      <c r="P469" s="21"/>
      <c r="Q469" s="28"/>
    </row>
    <row r="470" spans="11:17" ht="13.9">
      <c r="K470" s="27"/>
      <c r="L470" s="21"/>
      <c r="M470" s="21"/>
      <c r="N470" s="21"/>
      <c r="O470" s="21"/>
      <c r="P470" s="21"/>
      <c r="Q470" s="28"/>
    </row>
    <row r="471" spans="11:17" ht="13.9">
      <c r="K471" s="27"/>
      <c r="L471" s="21"/>
      <c r="M471" s="21"/>
      <c r="N471" s="21"/>
      <c r="O471" s="21"/>
      <c r="P471" s="21"/>
      <c r="Q471" s="28"/>
    </row>
    <row r="472" spans="11:17" ht="13.9">
      <c r="K472" s="27"/>
      <c r="L472" s="21"/>
      <c r="M472" s="21"/>
      <c r="N472" s="21"/>
      <c r="O472" s="21"/>
      <c r="P472" s="21"/>
      <c r="Q472" s="28"/>
    </row>
    <row r="473" spans="11:17" ht="13.9">
      <c r="K473" s="27"/>
      <c r="L473" s="21"/>
      <c r="M473" s="21"/>
      <c r="N473" s="21"/>
      <c r="O473" s="21"/>
      <c r="P473" s="21"/>
      <c r="Q473" s="28"/>
    </row>
    <row r="474" spans="11:17" ht="13.9">
      <c r="K474" s="27"/>
      <c r="L474" s="21"/>
      <c r="M474" s="21"/>
      <c r="N474" s="21"/>
      <c r="O474" s="21"/>
      <c r="P474" s="21"/>
      <c r="Q474" s="28"/>
    </row>
    <row r="475" spans="11:17" ht="13.9">
      <c r="K475" s="22"/>
      <c r="L475" s="21"/>
      <c r="M475" s="21"/>
      <c r="N475" s="21"/>
      <c r="O475" s="21"/>
      <c r="P475" s="21"/>
      <c r="Q475" s="28"/>
    </row>
    <row r="476" spans="11:17" ht="13.9">
      <c r="K476" s="22"/>
      <c r="L476" s="21"/>
      <c r="M476" s="21"/>
      <c r="N476" s="21"/>
      <c r="O476" s="21"/>
      <c r="P476" s="21"/>
      <c r="Q476" s="28"/>
    </row>
    <row r="477" spans="11:17" ht="13.9">
      <c r="K477" s="22"/>
      <c r="L477" s="21"/>
      <c r="M477" s="21"/>
      <c r="N477" s="21"/>
      <c r="O477" s="21"/>
      <c r="P477" s="21"/>
      <c r="Q477" s="28"/>
    </row>
    <row r="478" spans="11:17" ht="13.9">
      <c r="K478" s="22"/>
      <c r="L478" s="21"/>
      <c r="M478" s="21"/>
      <c r="N478" s="21"/>
      <c r="O478" s="21"/>
      <c r="P478" s="21"/>
      <c r="Q478" s="28"/>
    </row>
    <row r="479" spans="11:17">
      <c r="K479" s="22"/>
      <c r="L479" s="23"/>
      <c r="M479" s="23"/>
      <c r="N479" s="23"/>
      <c r="O479" s="23"/>
      <c r="P479" s="23"/>
      <c r="Q479" s="24"/>
    </row>
    <row r="480" spans="11:17">
      <c r="K480" s="22"/>
      <c r="L480" s="23"/>
      <c r="M480" s="23"/>
      <c r="N480" s="23"/>
      <c r="O480" s="23"/>
      <c r="P480" s="23"/>
      <c r="Q480" s="24"/>
    </row>
    <row r="481" spans="11:17">
      <c r="K481" s="22"/>
      <c r="L481" s="23"/>
      <c r="M481" s="23"/>
      <c r="N481" s="23"/>
      <c r="O481" s="23"/>
      <c r="P481" s="23"/>
      <c r="Q481" s="24"/>
    </row>
    <row r="482" spans="11:17">
      <c r="K482" s="22"/>
      <c r="L482" s="23"/>
      <c r="M482" s="23"/>
      <c r="N482" s="23"/>
      <c r="O482" s="23"/>
      <c r="P482" s="23"/>
      <c r="Q482" s="24"/>
    </row>
    <row r="483" spans="11:17">
      <c r="K483" s="22"/>
      <c r="L483" s="23"/>
      <c r="M483" s="23"/>
      <c r="N483" s="23"/>
      <c r="O483" s="23"/>
      <c r="P483" s="23"/>
      <c r="Q483" s="24"/>
    </row>
    <row r="484" spans="11:17">
      <c r="K484" s="29"/>
      <c r="L484" s="23"/>
      <c r="M484" s="23"/>
      <c r="N484" s="23"/>
      <c r="O484" s="23"/>
      <c r="P484" s="23"/>
      <c r="Q484" s="24"/>
    </row>
    <row r="485" spans="11:17">
      <c r="K485" s="29"/>
      <c r="L485" s="23"/>
      <c r="M485" s="23"/>
      <c r="N485" s="23"/>
      <c r="O485" s="23"/>
      <c r="P485" s="23"/>
      <c r="Q485" s="24"/>
    </row>
    <row r="486" spans="11:17">
      <c r="K486" s="29"/>
      <c r="L486" s="23"/>
      <c r="M486" s="23"/>
      <c r="N486" s="23"/>
      <c r="O486" s="23"/>
      <c r="P486" s="23"/>
      <c r="Q486" s="24"/>
    </row>
    <row r="487" spans="11:17">
      <c r="K487" s="29"/>
      <c r="L487" s="23"/>
      <c r="M487" s="23"/>
      <c r="N487" s="23"/>
      <c r="O487" s="23"/>
      <c r="P487" s="23"/>
      <c r="Q487" s="24"/>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29"/>
      <c r="L551" s="20"/>
      <c r="M551" s="20"/>
      <c r="N551" s="20"/>
      <c r="O551" s="20"/>
      <c r="P551" s="20"/>
      <c r="Q551" s="30"/>
    </row>
    <row r="552" spans="11:17">
      <c r="K552" s="29"/>
      <c r="L552" s="20"/>
      <c r="M552" s="20"/>
      <c r="N552" s="20"/>
      <c r="O552" s="20"/>
      <c r="P552" s="20"/>
      <c r="Q552" s="30"/>
    </row>
    <row r="553" spans="11:17">
      <c r="K553" s="29"/>
      <c r="L553" s="20"/>
      <c r="M553" s="20"/>
      <c r="N553" s="20"/>
      <c r="O553" s="20"/>
      <c r="P553" s="20"/>
      <c r="Q553" s="30"/>
    </row>
    <row r="554" spans="11:17">
      <c r="K554" s="29"/>
      <c r="L554" s="20"/>
      <c r="M554" s="20"/>
      <c r="N554" s="20"/>
      <c r="O554" s="20"/>
      <c r="P554" s="20"/>
      <c r="Q554" s="30"/>
    </row>
    <row r="555" spans="11:17">
      <c r="K555" s="29"/>
      <c r="L555" s="20"/>
      <c r="M555" s="20"/>
      <c r="N555" s="20"/>
      <c r="O555" s="20"/>
      <c r="P555" s="20"/>
      <c r="Q555" s="30"/>
    </row>
    <row r="556" spans="11:17">
      <c r="K556" s="29"/>
      <c r="L556" s="20"/>
      <c r="M556" s="20"/>
      <c r="N556" s="20"/>
      <c r="O556" s="20"/>
      <c r="P556" s="20"/>
      <c r="Q556" s="30"/>
    </row>
    <row r="557" spans="11:17">
      <c r="K557" s="29"/>
      <c r="L557" s="20"/>
      <c r="M557" s="20"/>
      <c r="N557" s="20"/>
      <c r="O557" s="20"/>
      <c r="P557" s="20"/>
      <c r="Q557" s="30"/>
    </row>
    <row r="558" spans="11:17">
      <c r="K558" s="29"/>
      <c r="L558" s="20"/>
      <c r="M558" s="20"/>
      <c r="N558" s="20"/>
      <c r="O558" s="20"/>
      <c r="P558" s="20"/>
      <c r="Q558" s="30"/>
    </row>
    <row r="559" spans="11:17">
      <c r="K559" s="29"/>
      <c r="L559" s="20"/>
      <c r="M559" s="20"/>
      <c r="N559" s="20"/>
      <c r="O559" s="20"/>
      <c r="P559" s="20"/>
      <c r="Q559" s="30"/>
    </row>
    <row r="560" spans="11:17">
      <c r="K560" s="29"/>
      <c r="L560" s="20"/>
      <c r="M560" s="20"/>
      <c r="N560" s="20"/>
      <c r="O560" s="20"/>
      <c r="P560" s="20"/>
      <c r="Q560" s="30"/>
    </row>
    <row r="561" spans="11:17">
      <c r="K561" s="29"/>
      <c r="L561" s="20"/>
      <c r="M561" s="20"/>
      <c r="N561" s="20"/>
      <c r="O561" s="20"/>
      <c r="P561" s="20"/>
      <c r="Q561" s="30"/>
    </row>
    <row r="562" spans="11:17">
      <c r="K562" s="29"/>
      <c r="L562" s="20"/>
      <c r="M562" s="20"/>
      <c r="N562" s="20"/>
      <c r="O562" s="20"/>
      <c r="P562" s="20"/>
      <c r="Q562" s="30"/>
    </row>
    <row r="563" spans="11:17">
      <c r="K563" s="29"/>
      <c r="L563" s="20"/>
      <c r="M563" s="20"/>
      <c r="N563" s="20"/>
      <c r="O563" s="20"/>
      <c r="P563" s="20"/>
      <c r="Q563" s="30"/>
    </row>
    <row r="564" spans="11:17">
      <c r="K564" s="29"/>
      <c r="L564" s="20"/>
      <c r="M564" s="20"/>
      <c r="N564" s="20"/>
      <c r="O564" s="20"/>
      <c r="P564" s="20"/>
      <c r="Q564" s="30"/>
    </row>
    <row r="565" spans="11:17">
      <c r="K565" s="29"/>
      <c r="L565" s="20"/>
      <c r="M565" s="20"/>
      <c r="N565" s="20"/>
      <c r="O565" s="20"/>
      <c r="P565" s="20"/>
      <c r="Q565" s="30"/>
    </row>
    <row r="566" spans="11:17">
      <c r="K566" s="29"/>
      <c r="L566" s="20"/>
      <c r="M566" s="20"/>
      <c r="N566" s="20"/>
      <c r="O566" s="20"/>
      <c r="P566" s="20"/>
      <c r="Q566" s="30"/>
    </row>
    <row r="567" spans="11:17">
      <c r="K567" s="29"/>
      <c r="L567" s="20"/>
      <c r="M567" s="20"/>
      <c r="N567" s="20"/>
      <c r="O567" s="20"/>
      <c r="P567" s="20"/>
      <c r="Q567" s="30"/>
    </row>
    <row r="568" spans="11:17">
      <c r="K568" s="29"/>
      <c r="L568" s="20"/>
      <c r="M568" s="20"/>
      <c r="N568" s="20"/>
      <c r="O568" s="20"/>
      <c r="P568" s="20"/>
      <c r="Q568" s="30"/>
    </row>
    <row r="569" spans="11:17">
      <c r="K569" s="29"/>
      <c r="L569" s="20"/>
      <c r="M569" s="20"/>
      <c r="N569" s="20"/>
      <c r="O569" s="20"/>
      <c r="P569" s="20"/>
      <c r="Q569" s="30"/>
    </row>
    <row r="570" spans="11:17">
      <c r="K570" s="29"/>
      <c r="L570" s="20"/>
      <c r="M570" s="20"/>
      <c r="N570" s="20"/>
      <c r="O570" s="20"/>
      <c r="P570" s="20"/>
      <c r="Q570" s="30"/>
    </row>
    <row r="571" spans="11:17">
      <c r="K571" s="29"/>
      <c r="L571" s="20"/>
      <c r="M571" s="20"/>
      <c r="N571" s="20"/>
      <c r="O571" s="20"/>
      <c r="P571" s="20"/>
      <c r="Q571" s="30"/>
    </row>
    <row r="572" spans="11:17">
      <c r="K572" s="29"/>
      <c r="L572" s="20"/>
      <c r="M572" s="20"/>
      <c r="N572" s="20"/>
      <c r="O572" s="20"/>
      <c r="P572" s="20"/>
      <c r="Q572" s="30"/>
    </row>
    <row r="573" spans="11:17">
      <c r="K573" s="29"/>
      <c r="L573" s="20"/>
      <c r="M573" s="20"/>
      <c r="N573" s="20"/>
      <c r="O573" s="20"/>
      <c r="P573" s="20"/>
      <c r="Q573" s="30"/>
    </row>
    <row r="574" spans="11:17">
      <c r="K574" s="29"/>
      <c r="L574" s="20"/>
      <c r="M574" s="20"/>
      <c r="N574" s="20"/>
      <c r="O574" s="20"/>
      <c r="P574" s="20"/>
      <c r="Q574" s="30"/>
    </row>
    <row r="575" spans="11:17">
      <c r="K575" s="29"/>
      <c r="L575" s="20"/>
      <c r="M575" s="20"/>
      <c r="N575" s="20"/>
      <c r="O575" s="20"/>
      <c r="P575" s="20"/>
      <c r="Q575" s="30"/>
    </row>
    <row r="576" spans="11:17">
      <c r="K576" s="29"/>
      <c r="L576" s="20"/>
      <c r="M576" s="20"/>
      <c r="N576" s="20"/>
      <c r="O576" s="20"/>
      <c r="P576" s="20"/>
      <c r="Q576" s="30"/>
    </row>
    <row r="577" spans="11:17">
      <c r="K577" s="29"/>
      <c r="L577" s="20"/>
      <c r="M577" s="20"/>
      <c r="N577" s="20"/>
      <c r="O577" s="20"/>
      <c r="P577" s="20"/>
      <c r="Q577" s="30"/>
    </row>
    <row r="578" spans="11:17">
      <c r="K578" s="29"/>
      <c r="L578" s="20"/>
      <c r="M578" s="20"/>
      <c r="N578" s="20"/>
      <c r="O578" s="20"/>
      <c r="P578" s="20"/>
      <c r="Q578" s="30"/>
    </row>
    <row r="579" spans="11:17">
      <c r="K579" s="29"/>
      <c r="L579" s="20"/>
      <c r="M579" s="20"/>
      <c r="N579" s="20"/>
      <c r="O579" s="20"/>
      <c r="P579" s="20"/>
      <c r="Q579" s="30"/>
    </row>
    <row r="580" spans="11:17">
      <c r="K580" s="29"/>
      <c r="L580" s="20"/>
      <c r="M580" s="20"/>
      <c r="N580" s="20"/>
      <c r="O580" s="20"/>
      <c r="P580" s="20"/>
      <c r="Q580" s="30"/>
    </row>
    <row r="581" spans="11:17">
      <c r="K581" s="29"/>
      <c r="L581" s="20"/>
      <c r="M581" s="20"/>
      <c r="N581" s="20"/>
      <c r="O581" s="20"/>
      <c r="P581" s="20"/>
      <c r="Q581" s="30"/>
    </row>
    <row r="582" spans="11:17">
      <c r="K582" s="29"/>
      <c r="L582" s="20"/>
      <c r="M582" s="20"/>
      <c r="N582" s="20"/>
      <c r="O582" s="20"/>
      <c r="P582" s="20"/>
      <c r="Q582" s="30"/>
    </row>
    <row r="583" spans="11:17">
      <c r="K583" s="29"/>
      <c r="L583" s="20"/>
      <c r="M583" s="20"/>
      <c r="N583" s="20"/>
      <c r="O583" s="20"/>
      <c r="P583" s="20"/>
      <c r="Q583" s="30"/>
    </row>
    <row r="584" spans="11:17">
      <c r="K584" s="31"/>
      <c r="L584" s="20"/>
      <c r="M584" s="20"/>
      <c r="N584" s="20"/>
      <c r="O584" s="20"/>
      <c r="P584" s="20"/>
      <c r="Q584" s="30"/>
    </row>
    <row r="585" spans="11:17">
      <c r="K585" s="34"/>
      <c r="L585" s="20"/>
      <c r="M585" s="20"/>
      <c r="N585" s="20"/>
      <c r="O585" s="20"/>
      <c r="P585" s="20"/>
      <c r="Q585" s="30"/>
    </row>
    <row r="586" spans="11:17">
      <c r="K586" s="34"/>
      <c r="L586" s="20"/>
      <c r="M586" s="20"/>
      <c r="N586" s="20"/>
      <c r="O586" s="20"/>
      <c r="P586" s="20"/>
      <c r="Q586" s="30"/>
    </row>
    <row r="587" spans="11:17">
      <c r="K587" s="34"/>
      <c r="L587" s="20"/>
      <c r="M587" s="20"/>
      <c r="N587" s="20"/>
      <c r="O587" s="20"/>
      <c r="P587" s="20"/>
      <c r="Q587" s="30"/>
    </row>
    <row r="588" spans="11:17">
      <c r="K588" s="34"/>
      <c r="L588" s="32"/>
      <c r="M588" s="32"/>
      <c r="N588" s="32"/>
      <c r="O588" s="32"/>
      <c r="P588" s="32"/>
      <c r="Q588" s="33"/>
    </row>
    <row r="589" spans="11:17">
      <c r="K589" s="34"/>
    </row>
    <row r="590" spans="11:17">
      <c r="K590" s="34"/>
    </row>
    <row r="591" spans="11:17">
      <c r="K59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E32" sqref="E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EB909-9C2F-4E1D-9AE5-DF877A85FF37}">
  <dimension ref="A1:AL9"/>
  <sheetViews>
    <sheetView topLeftCell="K1" workbookViewId="0">
      <selection activeCell="H19" sqref="H19"/>
    </sheetView>
  </sheetViews>
  <sheetFormatPr defaultRowHeight="14.25"/>
  <cols>
    <col min="2" max="2" width="20.86328125" customWidth="1"/>
    <col min="3" max="3" width="18.9296875" bestFit="1" customWidth="1"/>
    <col min="4" max="4" width="22.33203125" customWidth="1"/>
    <col min="6" max="6" width="20.59765625" customWidth="1"/>
    <col min="7" max="7" width="31.19921875" customWidth="1"/>
  </cols>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148</v>
      </c>
      <c r="C2" t="s">
        <v>168</v>
      </c>
      <c r="E2" t="s">
        <v>149</v>
      </c>
      <c r="F2" t="s">
        <v>155</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v>4002</v>
      </c>
      <c r="B3" t="s">
        <v>169</v>
      </c>
      <c r="C3" t="s">
        <v>168</v>
      </c>
      <c r="E3" t="s">
        <v>170</v>
      </c>
      <c r="F3" t="s">
        <v>171</v>
      </c>
      <c r="G3" t="s">
        <v>172</v>
      </c>
      <c r="H3" t="s">
        <v>3</v>
      </c>
      <c r="I3">
        <v>0</v>
      </c>
      <c r="J3">
        <v>8</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row>
    <row r="4" spans="1:38">
      <c r="A4">
        <v>4003</v>
      </c>
      <c r="B4" t="s">
        <v>173</v>
      </c>
      <c r="C4" t="s">
        <v>72</v>
      </c>
      <c r="D4" t="s">
        <v>174</v>
      </c>
      <c r="E4" t="s">
        <v>175</v>
      </c>
      <c r="F4" t="s">
        <v>176</v>
      </c>
      <c r="G4" t="s">
        <v>177</v>
      </c>
      <c r="H4" t="s">
        <v>3</v>
      </c>
    </row>
    <row r="5" spans="1:38">
      <c r="A5">
        <v>4004</v>
      </c>
      <c r="B5" t="s">
        <v>178</v>
      </c>
      <c r="C5" t="s">
        <v>72</v>
      </c>
      <c r="E5" t="s">
        <v>179</v>
      </c>
      <c r="F5" t="s">
        <v>180</v>
      </c>
      <c r="G5" t="s">
        <v>181</v>
      </c>
      <c r="H5" t="s">
        <v>3</v>
      </c>
    </row>
    <row r="6" spans="1:38">
      <c r="A6">
        <v>4005</v>
      </c>
      <c r="B6" t="s">
        <v>182</v>
      </c>
      <c r="C6" t="s">
        <v>72</v>
      </c>
      <c r="E6" t="s">
        <v>183</v>
      </c>
      <c r="F6" t="s">
        <v>184</v>
      </c>
      <c r="G6" t="s">
        <v>185</v>
      </c>
      <c r="H6" t="s">
        <v>3</v>
      </c>
      <c r="T6">
        <v>1</v>
      </c>
      <c r="U6">
        <v>2</v>
      </c>
      <c r="V6">
        <v>10</v>
      </c>
      <c r="W6">
        <v>2</v>
      </c>
      <c r="X6">
        <v>2</v>
      </c>
      <c r="Y6">
        <v>2</v>
      </c>
      <c r="Z6">
        <v>1</v>
      </c>
      <c r="AA6">
        <v>2</v>
      </c>
    </row>
    <row r="7" spans="1:38">
      <c r="A7" t="s">
        <v>150</v>
      </c>
      <c r="B7" s="41">
        <v>44760.357685185183</v>
      </c>
      <c r="C7" t="s">
        <v>186</v>
      </c>
      <c r="E7" t="s">
        <v>151</v>
      </c>
      <c r="F7" t="s">
        <v>154</v>
      </c>
      <c r="G7" t="s">
        <v>152</v>
      </c>
      <c r="H7" t="s">
        <v>71</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2</v>
      </c>
      <c r="AF7">
        <v>0</v>
      </c>
      <c r="AG7">
        <v>0</v>
      </c>
      <c r="AH7">
        <v>0</v>
      </c>
      <c r="AI7">
        <v>0</v>
      </c>
      <c r="AJ7">
        <v>0</v>
      </c>
      <c r="AK7">
        <v>0</v>
      </c>
      <c r="AL7">
        <v>0</v>
      </c>
    </row>
    <row r="8" spans="1:38">
      <c r="A8" t="s">
        <v>163</v>
      </c>
      <c r="B8" s="41">
        <v>44761.436226851853</v>
      </c>
      <c r="C8" t="s">
        <v>187</v>
      </c>
      <c r="E8" t="s">
        <v>164</v>
      </c>
      <c r="F8" t="s">
        <v>165</v>
      </c>
      <c r="G8" t="s">
        <v>166</v>
      </c>
      <c r="H8" t="s">
        <v>71</v>
      </c>
      <c r="I8">
        <v>0</v>
      </c>
      <c r="J8">
        <v>75</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row>
    <row r="9" spans="1:38">
      <c r="A9" t="s">
        <v>188</v>
      </c>
      <c r="B9" s="41">
        <v>44762.961574074077</v>
      </c>
      <c r="C9" t="s">
        <v>189</v>
      </c>
      <c r="E9" t="s">
        <v>190</v>
      </c>
      <c r="F9" t="s">
        <v>191</v>
      </c>
      <c r="G9" t="s">
        <v>192</v>
      </c>
      <c r="H9" t="s">
        <v>71</v>
      </c>
      <c r="I9">
        <v>8</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row>
  </sheetData>
  <conditionalFormatting sqref="A2:AL9">
    <cfRule type="expression" dxfId="0" priority="1" stopIfTrue="1">
      <formula>AND(NOT(ISBLANK($A2)),ISBLANK($I2:$AL2))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2022-07-21T08:53:31Z</dcterms:modified>
</cp:coreProperties>
</file>