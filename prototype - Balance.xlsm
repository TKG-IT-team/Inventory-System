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1E783BF9-1C34-441B-BDE8-3D314511A629}" xr6:coauthVersionLast="47" xr6:coauthVersionMax="47" xr10:uidLastSave="{00000000-0000-0000-0000-000000000000}"/>
  <bookViews>
    <workbookView xWindow="-108" yWindow="-108" windowWidth="23256" windowHeight="12456" tabRatio="694" activeTab="3" xr2:uid="{8BAFBECF-EE09-4C9B-8DD4-3EC6B846E994}"/>
  </bookViews>
  <sheets>
    <sheet name="Frontend" sheetId="1" r:id="rId1"/>
    <sheet name="OUT" sheetId="23" r:id="rId2"/>
    <sheet name="Path Setting" sheetId="26" r:id="rId3"/>
    <sheet name="IN Log" sheetId="22" r:id="rId4"/>
    <sheet name="Sheet1" sheetId="30" r:id="rId5"/>
    <sheet name="Customer Backend" sheetId="7" r:id="rId6"/>
    <sheet name="Combined Data" sheetId="28" r:id="rId7"/>
    <sheet name="Setting" sheetId="29" r:id="rId8"/>
  </sheets>
  <definedNames>
    <definedName name="log">'IN Log'!$R$3:$V$29</definedName>
    <definedName name="Misc">'IN Log'!$M$4:$N$13</definedName>
    <definedName name="Packaging">'IN Log'!$H$4:$K$13</definedName>
    <definedName name="Popcorn">'IN Log'!$B$4:$F$13</definedName>
    <definedName name="Purchase_Inv">'IN Log'!$B$4:$N$14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6" i="22" l="1"/>
  <c r="R29" i="22"/>
  <c r="R28" i="22"/>
  <c r="R27" i="22"/>
  <c r="R26" i="22"/>
  <c r="R25" i="22"/>
  <c r="R24" i="22"/>
  <c r="R23" i="22"/>
  <c r="R22" i="22"/>
  <c r="R21" i="22"/>
  <c r="R20" i="22"/>
  <c r="R19" i="22"/>
  <c r="R18" i="22"/>
  <c r="R17" i="22"/>
  <c r="R16" i="22"/>
  <c r="R15" i="22"/>
  <c r="R14" i="22"/>
  <c r="R13" i="22"/>
  <c r="R12" i="22"/>
  <c r="R11" i="22"/>
  <c r="R10" i="22"/>
  <c r="R9" i="22"/>
  <c r="R8" i="22"/>
  <c r="R7" i="22"/>
  <c r="R5" i="22"/>
</calcChain>
</file>

<file path=xl/sharedStrings.xml><?xml version="1.0" encoding="utf-8"?>
<sst xmlns="http://schemas.openxmlformats.org/spreadsheetml/2006/main" count="21268" uniqueCount="14198">
  <si>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</si>
  <si>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</si>
  <si>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</si>
  <si>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</si>
  <si>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</si>
  <si>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</si>
  <si>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</si>
  <si>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</si>
  <si>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</si>
  <si>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</si>
  <si>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</si>
  <si>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</si>
  <si>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</si>
  <si>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</si>
  <si>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</si>
  <si>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</si>
  <si>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</si>
  <si>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</si>
  <si>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</si>
  <si>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</si>
  <si>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</si>
  <si>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</si>
  <si>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</si>
  <si>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</si>
  <si>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</si>
  <si>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</si>
  <si>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</si>
  <si>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</si>
  <si>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</si>
  <si>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</si>
  <si>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</si>
  <si>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</si>
  <si>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</si>
  <si>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</si>
  <si>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</si>
  <si>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</si>
  <si>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</si>
  <si>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</si>
  <si>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</si>
  <si>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</si>
  <si>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</si>
  <si>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</si>
  <si>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</si>
  <si>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</si>
  <si>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</si>
  <si>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</si>
  <si>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</si>
  <si>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</si>
  <si>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</si>
  <si>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</si>
  <si>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</si>
  <si>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</si>
  <si>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</si>
  <si>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</si>
  <si>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</si>
  <si>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</si>
  <si>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</si>
  <si>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</si>
  <si>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</si>
  <si>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</si>
  <si>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</si>
  <si>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</si>
  <si>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</si>
  <si>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</si>
  <si>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</si>
  <si>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</si>
  <si>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</si>
  <si>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</si>
  <si>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</si>
  <si>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</si>
  <si>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</si>
  <si>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</si>
  <si>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</si>
  <si>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</si>
  <si>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</si>
  <si>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</si>
  <si>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</si>
  <si>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</si>
  <si>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</si>
  <si>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</si>
  <si>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</si>
  <si>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</si>
  <si>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</si>
  <si>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</si>
  <si>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</si>
  <si>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</si>
  <si>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</si>
  <si>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</si>
  <si>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</si>
  <si>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</si>
  <si>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</si>
  <si>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</si>
  <si>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</si>
  <si>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</si>
  <si>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</si>
  <si>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</si>
  <si>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</si>
  <si>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</si>
  <si>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</si>
  <si>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</si>
  <si>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</si>
  <si>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</si>
  <si>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</si>
  <si>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</si>
  <si>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</si>
  <si>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</si>
  <si>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</si>
  <si>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</si>
  <si>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</si>
  <si>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</si>
  <si>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</si>
  <si>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</si>
  <si>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</si>
  <si>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</si>
  <si>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</si>
  <si>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</si>
  <si>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</si>
  <si>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</si>
  <si>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</si>
  <si>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</si>
  <si>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</si>
  <si>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</si>
  <si>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</si>
  <si>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</si>
  <si>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</si>
  <si>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</si>
  <si>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</si>
  <si>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</si>
  <si>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</si>
  <si>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</si>
  <si>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</si>
  <si>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</si>
  <si>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</si>
  <si>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</si>
  <si>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</si>
  <si>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</si>
  <si>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</si>
  <si>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</si>
  <si>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</si>
  <si>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</si>
  <si>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</si>
  <si>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</si>
  <si>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</si>
  <si>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</si>
  <si>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</si>
  <si>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</si>
  <si>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</si>
  <si>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</si>
  <si>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</si>
  <si>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</si>
  <si>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</si>
  <si>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</si>
  <si>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</si>
  <si>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</si>
  <si>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</si>
  <si>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</si>
  <si>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</si>
  <si>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</si>
  <si>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</si>
  <si>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</si>
  <si>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</si>
  <si>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</si>
  <si>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</si>
  <si>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</si>
  <si>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</si>
  <si>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</si>
  <si>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</si>
  <si>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</si>
  <si>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</si>
  <si>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</si>
  <si>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</si>
  <si>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</si>
  <si>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</si>
  <si>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</si>
  <si>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</si>
  <si>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</si>
  <si>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</si>
  <si>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</si>
  <si>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</si>
  <si>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</si>
  <si>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</si>
  <si>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</si>
  <si>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</si>
  <si>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</si>
  <si>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</si>
  <si>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</si>
  <si>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</si>
  <si>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</si>
  <si>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</si>
  <si>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</si>
  <si>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</si>
  <si>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</si>
  <si>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</si>
  <si>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</si>
  <si>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</si>
  <si>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</si>
  <si>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</si>
  <si>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</si>
  <si>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</si>
  <si>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</si>
  <si>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</si>
  <si>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</si>
  <si>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</si>
  <si>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</si>
  <si>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</si>
  <si>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</si>
  <si>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</si>
  <si>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</si>
  <si>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</si>
  <si>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</si>
  <si>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</si>
  <si>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</si>
  <si>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</si>
  <si>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</si>
  <si>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</si>
  <si>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</si>
  <si>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</si>
  <si>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</si>
  <si>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</si>
  <si>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</si>
  <si>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</si>
  <si>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</si>
  <si>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</si>
  <si>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</si>
  <si>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</si>
  <si>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</si>
  <si>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</si>
  <si>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</si>
  <si>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</si>
  <si>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</si>
  <si>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</si>
  <si>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</si>
  <si>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</si>
  <si>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</si>
  <si>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</si>
  <si>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</si>
  <si>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</si>
  <si>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</si>
  <si>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</si>
  <si>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</si>
  <si>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</si>
  <si>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</si>
  <si>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</si>
  <si>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</si>
  <si>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</si>
  <si>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</si>
  <si>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</si>
  <si>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</si>
  <si>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</si>
  <si>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</si>
  <si>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</si>
  <si>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</si>
  <si>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</si>
  <si>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</si>
  <si>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</si>
  <si>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</si>
  <si>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</si>
  <si>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</si>
  <si>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</si>
  <si>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</si>
  <si>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</si>
  <si>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</si>
  <si>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</si>
  <si>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</si>
  <si>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</si>
  <si>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</si>
  <si>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</si>
  <si>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</si>
  <si>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</si>
  <si>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</si>
  <si>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</si>
  <si>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</si>
  <si>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</si>
  <si>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</si>
  <si>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</si>
  <si>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</si>
  <si>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</si>
  <si>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</si>
  <si>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</si>
  <si>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</si>
  <si>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</si>
  <si>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</si>
  <si>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</si>
  <si>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</si>
  <si>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</si>
  <si>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</si>
  <si>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</si>
  <si>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</si>
  <si>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</si>
  <si>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</si>
  <si>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</si>
  <si>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</si>
  <si>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</si>
  <si>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</si>
  <si>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</si>
  <si>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</si>
  <si>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</si>
  <si>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</si>
  <si>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</si>
  <si>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</si>
  <si>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</si>
  <si>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</si>
  <si>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</si>
  <si>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</si>
  <si>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</si>
  <si>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</si>
  <si>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</si>
  <si>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</si>
  <si>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</si>
  <si>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</si>
  <si>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</si>
  <si>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</si>
  <si>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</si>
  <si>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</si>
  <si>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</si>
  <si>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</si>
  <si>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</si>
  <si>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</si>
  <si>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</si>
  <si>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</si>
  <si>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</si>
  <si>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</si>
  <si>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</si>
  <si>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</si>
  <si>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</si>
  <si>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</si>
  <si>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</si>
  <si>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</si>
  <si>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</si>
  <si>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</si>
  <si>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</si>
  <si>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</si>
  <si>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</si>
  <si>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</si>
  <si>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</si>
  <si>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</si>
  <si>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</si>
  <si>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</si>
  <si>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</si>
  <si>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</si>
  <si>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</si>
  <si>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</si>
  <si>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</si>
  <si>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</si>
  <si>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</si>
  <si>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</si>
  <si>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</si>
  <si>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</si>
  <si>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</si>
  <si>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</si>
  <si>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</si>
  <si>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</si>
  <si>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</si>
  <si>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</si>
  <si>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</si>
  <si>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</si>
  <si>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</si>
  <si>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</si>
  <si>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</si>
  <si>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</si>
  <si>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</si>
  <si>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</si>
  <si>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</si>
  <si>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</si>
  <si>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</si>
  <si>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</si>
  <si>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</si>
  <si>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</si>
  <si>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</si>
  <si>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</si>
  <si>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</si>
  <si>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</si>
  <si>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</si>
  <si>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</si>
  <si>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</si>
  <si>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</si>
  <si>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</si>
  <si>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</si>
  <si>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</si>
  <si>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</si>
  <si>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</si>
  <si>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</si>
  <si>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</si>
  <si>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</si>
  <si>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</si>
  <si>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</si>
  <si>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</si>
  <si>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</si>
  <si>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</si>
  <si>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</si>
  <si>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</si>
  <si>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</si>
  <si>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</si>
  <si>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</si>
  <si>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</si>
  <si>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</si>
  <si>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</si>
  <si>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</si>
  <si>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</si>
  <si>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</si>
  <si>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</si>
  <si>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</si>
  <si>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</si>
  <si>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</si>
  <si>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</si>
  <si>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</si>
  <si>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</si>
  <si>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</si>
  <si>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</si>
  <si>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</si>
  <si>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</si>
  <si>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</si>
  <si>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</si>
  <si>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</si>
  <si>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</si>
  <si>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</si>
  <si>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</si>
  <si>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</si>
  <si>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</si>
  <si>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</si>
  <si>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</si>
  <si>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</si>
  <si>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</si>
  <si>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</si>
  <si>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</si>
  <si>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</si>
  <si>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</si>
  <si>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</si>
  <si>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</si>
  <si>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</si>
  <si>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</si>
  <si>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</si>
  <si>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</si>
  <si>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</si>
  <si>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</si>
  <si>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</si>
  <si>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</si>
  <si>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</si>
  <si>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</si>
  <si>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</si>
  <si>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</si>
  <si>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</si>
  <si>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</si>
  <si>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</si>
  <si>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</si>
  <si>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</si>
  <si>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</si>
  <si>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</si>
  <si>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</si>
  <si>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</si>
  <si>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</si>
  <si>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</si>
  <si>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</si>
  <si>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</si>
  <si>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</si>
  <si>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</si>
  <si>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</si>
  <si>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</si>
  <si>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</si>
  <si>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</si>
  <si>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</si>
  <si>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</si>
  <si>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</si>
  <si>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</si>
  <si>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</si>
  <si>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</si>
  <si>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</si>
  <si>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</si>
  <si>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</si>
  <si>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</si>
  <si>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</si>
  <si>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</si>
  <si>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</si>
  <si>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</si>
  <si>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</si>
  <si>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</si>
  <si>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</si>
  <si>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</si>
  <si>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</si>
  <si>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</si>
  <si>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</si>
  <si>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</si>
  <si>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</si>
  <si>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</si>
  <si>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</si>
  <si>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</si>
  <si>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</si>
  <si>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</si>
  <si>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</si>
  <si>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</si>
  <si>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</si>
  <si>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</si>
  <si>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</si>
  <si>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</si>
  <si>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</si>
  <si>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</si>
  <si>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</si>
  <si>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</si>
  <si>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</si>
  <si>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</si>
  <si>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</si>
  <si>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</si>
  <si>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</si>
  <si>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</si>
  <si>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</si>
  <si>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</si>
  <si>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</si>
  <si>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</si>
  <si>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</si>
  <si>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</si>
  <si>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</si>
  <si>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</si>
  <si>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</si>
  <si>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</si>
  <si>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</si>
  <si>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</si>
  <si>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</si>
  <si>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</si>
  <si>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</si>
  <si>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</si>
  <si>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</si>
  <si>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</si>
  <si>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</si>
  <si>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</si>
  <si>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</si>
  <si>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</si>
  <si>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</si>
  <si>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</si>
  <si>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</si>
  <si>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</si>
  <si>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</si>
  <si>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</si>
  <si>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</si>
  <si>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</si>
  <si>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</si>
  <si>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</si>
  <si>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</si>
  <si>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</si>
  <si>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</si>
  <si>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</si>
  <si>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</si>
  <si>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</si>
  <si>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</si>
  <si>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</si>
  <si>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</si>
  <si>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</si>
  <si>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</si>
  <si>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</si>
  <si>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</si>
  <si>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</si>
  <si>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</si>
  <si>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</si>
  <si>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</si>
  <si>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</si>
  <si>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</si>
  <si>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</si>
  <si>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</si>
  <si>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</si>
  <si>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</si>
  <si>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</si>
  <si>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</si>
  <si>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</si>
  <si>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</si>
  <si>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</si>
  <si>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</si>
  <si>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</si>
  <si>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</si>
  <si>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</si>
  <si>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</si>
  <si>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</si>
  <si>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</si>
  <si>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</si>
  <si>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</si>
  <si>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</si>
  <si>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</si>
  <si>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</si>
  <si>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</si>
  <si>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</si>
  <si>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</si>
  <si>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</si>
  <si>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</si>
  <si>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</si>
  <si>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</si>
  <si>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</si>
  <si>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</si>
  <si>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</si>
  <si>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</si>
  <si>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</si>
  <si>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</si>
  <si>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</si>
  <si>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</si>
  <si>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</si>
  <si>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</si>
  <si>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</si>
  <si>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</si>
  <si>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</si>
  <si>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</si>
  <si>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</si>
  <si>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</si>
  <si>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</si>
  <si>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</si>
  <si>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</si>
  <si>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</si>
  <si>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</si>
  <si>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</si>
  <si>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</si>
  <si>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</si>
  <si>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</si>
  <si>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</si>
  <si>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</si>
  <si>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</si>
  <si>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</si>
  <si>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</si>
  <si>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</si>
  <si>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</si>
  <si>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</si>
  <si>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</si>
  <si>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</si>
  <si>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</si>
  <si>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</si>
  <si>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</si>
  <si>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</si>
  <si>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</si>
  <si>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</si>
  <si>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</si>
  <si>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</si>
  <si>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</si>
  <si>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</si>
  <si>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</si>
  <si>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</si>
  <si>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</si>
  <si>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</si>
  <si>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</si>
  <si>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</si>
  <si>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</si>
  <si>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</si>
  <si>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</si>
  <si>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</si>
  <si>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</si>
  <si>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</si>
  <si>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</si>
  <si>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</si>
  <si>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</si>
  <si>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</si>
  <si>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</si>
  <si>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</si>
  <si>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</si>
  <si>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</si>
  <si>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</si>
  <si>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</si>
  <si>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</si>
  <si>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</si>
  <si>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</si>
  <si>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</si>
  <si>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</si>
  <si>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</si>
  <si>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</si>
  <si>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</si>
  <si>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</si>
  <si>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</si>
  <si>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</si>
  <si>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</si>
  <si>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</si>
  <si>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</si>
  <si>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</si>
  <si>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</si>
  <si>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</si>
  <si>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</si>
  <si>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</si>
  <si>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</si>
  <si>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</si>
  <si>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</si>
  <si>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</si>
  <si>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</si>
  <si>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</si>
  <si>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</si>
  <si>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</si>
  <si>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</si>
  <si>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</si>
  <si>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</si>
  <si>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</si>
  <si>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</si>
  <si>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</si>
  <si>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</si>
  <si>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</si>
  <si>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</si>
  <si>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</si>
  <si>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</si>
  <si>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</si>
  <si>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</si>
  <si>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</si>
  <si>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</si>
  <si>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</si>
  <si>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</si>
  <si>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</si>
  <si>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</si>
  <si>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</si>
  <si>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</si>
  <si>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</si>
  <si>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</si>
  <si>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</si>
  <si>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</si>
  <si>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</si>
  <si>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</si>
  <si>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</si>
  <si>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</si>
  <si>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</si>
  <si>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</si>
  <si>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</si>
  <si>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</si>
  <si>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</si>
  <si>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</si>
  <si>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</si>
  <si>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</si>
  <si>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</si>
  <si>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</si>
  <si>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</si>
  <si>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</si>
  <si>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</si>
  <si>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</si>
  <si>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</si>
  <si>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</si>
  <si>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</si>
  <si>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</si>
  <si>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</si>
  <si>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</si>
  <si>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</si>
  <si>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</si>
  <si>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</si>
  <si>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</si>
  <si>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</si>
  <si>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</si>
  <si>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</si>
  <si>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</si>
  <si>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</si>
  <si>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</si>
  <si>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</si>
  <si>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</si>
  <si>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</si>
  <si>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</si>
  <si>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</si>
  <si>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</si>
  <si>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</si>
  <si>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</si>
  <si>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</si>
  <si>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</si>
  <si>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</si>
  <si>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</si>
  <si>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</si>
  <si>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</si>
  <si>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</si>
  <si>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</si>
  <si>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</si>
  <si>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</si>
  <si>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</si>
  <si>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</si>
  <si>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</si>
  <si>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</si>
  <si>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</si>
  <si>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</si>
  <si>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</si>
  <si>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</si>
  <si>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</si>
  <si>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</si>
  <si>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</si>
  <si>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</si>
  <si>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</si>
  <si>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</si>
  <si>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</si>
  <si>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</si>
  <si>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</si>
  <si>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</si>
  <si>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</si>
  <si>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</si>
  <si>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</si>
  <si>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</si>
  <si>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</si>
  <si>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</si>
  <si>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</si>
  <si>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</si>
  <si>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</si>
  <si>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</si>
  <si>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</si>
  <si>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</si>
  <si>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</si>
  <si>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</si>
  <si>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</si>
  <si>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</si>
  <si>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</si>
  <si>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</si>
  <si>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</si>
  <si>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</si>
  <si>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</si>
  <si>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</si>
  <si>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</si>
  <si>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</si>
  <si>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</si>
  <si>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</si>
  <si>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</si>
  <si>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</si>
  <si>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</si>
  <si>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</si>
  <si>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</si>
  <si>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</si>
  <si>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</si>
  <si>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</si>
  <si>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</si>
  <si>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</si>
  <si>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</si>
  <si>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</si>
  <si>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</si>
  <si>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</si>
  <si>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</si>
  <si>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</si>
  <si>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</si>
  <si>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</si>
  <si>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</si>
  <si>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</si>
  <si>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</si>
  <si>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</si>
  <si>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</si>
  <si>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</si>
  <si>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</si>
  <si>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</si>
  <si>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</si>
  <si>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</si>
  <si>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</si>
  <si>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</si>
  <si>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</si>
  <si>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</si>
  <si>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</si>
  <si>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</si>
  <si>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</si>
  <si>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</si>
  <si>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</si>
  <si>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</si>
  <si>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</si>
  <si>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</si>
  <si>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</si>
  <si>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</si>
  <si>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</si>
  <si>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</si>
  <si>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</si>
  <si>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</si>
  <si>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</si>
  <si>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</si>
  <si>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</si>
  <si>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</si>
  <si>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</si>
  <si>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</si>
  <si>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</si>
  <si>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</si>
  <si>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</si>
  <si>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</si>
  <si>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</si>
  <si>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</si>
  <si>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</si>
  <si>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</si>
  <si>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</si>
  <si>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</si>
  <si>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</si>
  <si>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</si>
  <si>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</si>
  <si>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</si>
  <si>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</si>
  <si>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</si>
  <si>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</si>
  <si>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</si>
  <si>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</si>
  <si>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</si>
  <si>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</si>
  <si>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</si>
  <si>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</si>
  <si>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</si>
  <si>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</si>
  <si>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</si>
  <si>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</si>
  <si>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</si>
  <si>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</si>
  <si>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</si>
  <si>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</si>
  <si>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</si>
  <si>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</si>
  <si>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</si>
  <si>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</si>
  <si>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</si>
  <si>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</si>
  <si>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</si>
  <si>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</si>
  <si>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</si>
  <si>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</si>
  <si>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</si>
  <si>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</si>
  <si>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</si>
  <si>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</si>
  <si>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</si>
  <si>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</si>
  <si>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</si>
  <si>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</si>
  <si>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</si>
  <si>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</si>
  <si>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</si>
  <si>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</si>
  <si>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</si>
  <si>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</si>
  <si>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</si>
  <si>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</si>
  <si>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</si>
  <si>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</si>
  <si>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</si>
  <si>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</si>
  <si>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</si>
  <si>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</si>
  <si>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</si>
  <si>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</si>
  <si>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</si>
  <si>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</si>
  <si>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</si>
  <si>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</si>
  <si>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</si>
  <si>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</si>
  <si>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</si>
  <si>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</si>
  <si>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</si>
  <si>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</si>
  <si>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</si>
  <si>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</si>
  <si>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</si>
  <si>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</si>
  <si>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</si>
  <si>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</si>
  <si>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</si>
  <si>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</si>
  <si>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</si>
  <si>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</si>
  <si>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</si>
  <si>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</si>
  <si>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</si>
  <si>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</si>
  <si>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</si>
  <si>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</si>
  <si>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</si>
  <si>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</si>
  <si>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</si>
  <si>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</si>
  <si>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</si>
  <si>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</si>
  <si>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</si>
  <si>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</si>
  <si>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</si>
  <si>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</si>
  <si>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</si>
  <si>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</si>
  <si>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</si>
  <si>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</si>
  <si>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</si>
  <si>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</si>
  <si>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</si>
  <si>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</si>
  <si>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</si>
  <si>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</si>
  <si>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</si>
  <si>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</si>
  <si>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</si>
  <si>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</si>
  <si>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</si>
  <si>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</si>
  <si>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</si>
  <si>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</si>
  <si>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</si>
  <si>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</si>
  <si>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</si>
  <si>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</si>
  <si>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</si>
  <si>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</si>
  <si>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</si>
  <si>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</si>
  <si>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</si>
  <si>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</si>
  <si>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</si>
  <si>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</si>
  <si>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</si>
  <si>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</si>
  <si>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</si>
  <si>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</si>
  <si>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</si>
  <si>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</si>
  <si>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</si>
  <si>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</si>
  <si>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</si>
  <si>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</si>
  <si>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</si>
  <si>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</si>
  <si>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</si>
  <si>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</si>
  <si>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</si>
  <si>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</si>
  <si>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</si>
  <si>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</si>
  <si>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</si>
  <si>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</si>
  <si>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</si>
  <si>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</si>
  <si>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</si>
  <si>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</si>
  <si>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</si>
  <si>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</si>
  <si>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</si>
  <si>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</si>
  <si>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</si>
  <si>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</si>
  <si>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</si>
  <si>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</si>
  <si>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</si>
  <si>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</si>
  <si>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</si>
  <si>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</si>
  <si>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</si>
  <si>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</si>
  <si>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</si>
  <si>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</si>
  <si>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</si>
  <si>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</si>
  <si>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</si>
  <si>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</si>
  <si>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</si>
  <si>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</si>
  <si>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</si>
  <si>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</si>
  <si>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</si>
  <si>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</si>
  <si>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</si>
  <si>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</si>
  <si>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</si>
  <si>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</si>
  <si>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</si>
  <si>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</si>
  <si>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</si>
  <si>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</si>
  <si>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</si>
  <si>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</si>
  <si>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</si>
  <si>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</si>
  <si>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</si>
  <si>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</si>
  <si>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</si>
  <si>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</si>
  <si>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</si>
  <si>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</si>
  <si>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</si>
  <si>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</si>
  <si>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</si>
  <si>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</si>
  <si>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</si>
  <si>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</si>
  <si>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</si>
  <si>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</si>
  <si>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</si>
  <si>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</si>
  <si>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</si>
  <si>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</si>
  <si>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</si>
  <si>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</si>
  <si>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</si>
  <si>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</si>
  <si>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</si>
  <si>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</si>
  <si>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</si>
  <si>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</si>
  <si>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</si>
  <si>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</si>
  <si>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</si>
  <si>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</si>
  <si>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</si>
  <si>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</si>
  <si>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</si>
  <si>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</si>
  <si>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</si>
  <si>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</si>
  <si>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</si>
  <si>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</si>
  <si>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</si>
  <si>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</si>
  <si>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</si>
  <si>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</si>
  <si>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</si>
  <si>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</si>
  <si>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</si>
  <si>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</si>
  <si>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</si>
  <si>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</si>
  <si>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</si>
  <si>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</si>
  <si>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</si>
  <si>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</si>
  <si>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</si>
  <si>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</si>
  <si>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</si>
  <si>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</si>
  <si>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</si>
  <si>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</si>
  <si>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</si>
  <si>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</si>
  <si>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</si>
  <si>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</si>
  <si>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</si>
  <si>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</si>
  <si>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</si>
  <si>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</si>
  <si>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</si>
  <si>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</si>
  <si>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</si>
  <si>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</si>
  <si>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</si>
  <si>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</si>
  <si>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</si>
  <si>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</si>
  <si>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</si>
  <si>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</si>
  <si>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</si>
  <si>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</si>
  <si>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</si>
  <si>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</si>
  <si>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</si>
  <si>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</si>
  <si>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</si>
  <si>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</si>
  <si>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</si>
  <si>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</si>
  <si>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</si>
  <si>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</si>
  <si>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</si>
  <si>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</si>
  <si>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</si>
  <si>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</si>
  <si>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</si>
  <si>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</si>
  <si>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</si>
  <si>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</si>
  <si>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</si>
  <si>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</si>
  <si>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</si>
  <si>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</si>
  <si>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</si>
  <si>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</si>
  <si>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</si>
  <si>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</si>
  <si>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</si>
  <si>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</si>
  <si>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</si>
  <si>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</si>
  <si>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</si>
  <si>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</si>
  <si>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</si>
  <si>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</si>
  <si>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</si>
  <si>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</si>
  <si>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</si>
  <si>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</si>
  <si>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</si>
  <si>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</si>
  <si>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</si>
  <si>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</si>
  <si>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</si>
  <si>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</si>
  <si>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</si>
  <si>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</si>
  <si>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</si>
  <si>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</si>
  <si>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</si>
  <si>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</si>
  <si>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</si>
  <si>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</si>
  <si>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</si>
  <si>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</si>
  <si>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</si>
  <si>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</si>
  <si>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</si>
  <si>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</si>
  <si>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</si>
  <si>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</si>
  <si>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</si>
  <si>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</si>
  <si>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</si>
  <si>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</si>
  <si>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</si>
  <si>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</si>
  <si>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</si>
  <si>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</si>
  <si>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</si>
  <si>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</si>
  <si>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</si>
  <si>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</si>
  <si>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</si>
  <si>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</si>
  <si>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</si>
  <si>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</si>
  <si>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</si>
  <si>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</si>
  <si>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</si>
  <si>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</si>
  <si>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</si>
  <si>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</si>
  <si>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</si>
  <si>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</si>
  <si>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</si>
  <si>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</si>
  <si>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</si>
  <si>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</si>
  <si>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</si>
  <si>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</si>
  <si>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</si>
  <si>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</si>
  <si>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</si>
  <si>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</si>
  <si>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</si>
  <si>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</si>
  <si>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</si>
  <si>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</si>
  <si>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</si>
  <si>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</si>
  <si>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</si>
  <si>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</si>
  <si>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</si>
  <si>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</si>
  <si>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</si>
  <si>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</si>
  <si>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</si>
  <si>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</si>
  <si>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</si>
  <si>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</si>
  <si>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</si>
  <si>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</si>
  <si>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</si>
  <si>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</si>
  <si>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</si>
  <si>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</si>
  <si>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</si>
  <si>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</si>
  <si>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</si>
  <si>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</si>
  <si>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</si>
  <si>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</si>
  <si>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</si>
  <si>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</si>
  <si>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</si>
  <si>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</si>
  <si>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</si>
  <si>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</si>
  <si>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</si>
  <si>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</si>
  <si>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</si>
  <si>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</si>
  <si>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</si>
  <si>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</si>
  <si>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</si>
  <si>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</si>
  <si>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</si>
  <si>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</si>
  <si>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</si>
  <si>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</si>
  <si>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</si>
  <si>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</si>
  <si>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</si>
  <si>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</si>
  <si>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</si>
  <si>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</si>
  <si>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</si>
  <si>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</si>
  <si>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</si>
  <si>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</si>
  <si>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</si>
  <si>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</si>
  <si>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</si>
  <si>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</si>
  <si>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</si>
  <si>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</si>
  <si>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</si>
  <si>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</si>
  <si>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</si>
  <si>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</si>
  <si>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</si>
  <si>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</si>
  <si>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</si>
  <si>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</si>
  <si>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</si>
  <si>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</si>
  <si>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</si>
  <si>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</si>
  <si>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</si>
  <si>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</si>
  <si>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</si>
  <si>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</si>
  <si>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</si>
  <si>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</si>
  <si>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</si>
  <si>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</si>
  <si>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</si>
  <si>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</si>
  <si>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</si>
  <si>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</si>
  <si>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</si>
  <si>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</si>
  <si>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</si>
  <si>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</si>
  <si>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</si>
  <si>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</si>
  <si>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</si>
  <si>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</si>
  <si>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</si>
  <si>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</si>
  <si>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</si>
  <si>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</si>
  <si>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</si>
  <si>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</si>
  <si>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</si>
  <si>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</si>
  <si>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</si>
  <si>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</si>
  <si>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</si>
  <si>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</si>
  <si>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</si>
  <si>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</si>
  <si>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</si>
  <si>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</si>
  <si>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</si>
  <si>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</si>
  <si>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</si>
  <si>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</si>
  <si>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</si>
  <si>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</si>
  <si>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</si>
  <si>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</si>
  <si>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</si>
  <si>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</si>
  <si>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</si>
  <si>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</si>
  <si>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</si>
  <si>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</si>
  <si>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</si>
  <si>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</si>
  <si>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</si>
  <si>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</si>
  <si>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</si>
  <si>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</si>
  <si>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</si>
  <si>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</si>
  <si>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</si>
  <si>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</si>
  <si>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</si>
  <si>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</si>
  <si>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</si>
  <si>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</si>
  <si>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</si>
  <si>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</si>
  <si>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</si>
  <si>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</si>
  <si>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</si>
  <si>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</si>
  <si>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</si>
  <si>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</si>
  <si>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</si>
  <si>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</si>
  <si>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</si>
  <si>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</si>
  <si>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</si>
  <si>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</si>
  <si>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</si>
  <si>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</si>
  <si>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</si>
  <si>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</si>
  <si>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</si>
  <si>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</si>
  <si>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</si>
  <si>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</si>
  <si>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</si>
  <si>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</si>
  <si>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</si>
  <si>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</si>
  <si>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</si>
  <si>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</si>
  <si>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</si>
  <si>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</si>
  <si>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</si>
  <si>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</si>
  <si>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</si>
  <si>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</si>
  <si>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</si>
  <si>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</si>
  <si>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</si>
  <si>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</si>
  <si>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</si>
  <si>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</si>
  <si>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</si>
  <si>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</si>
  <si>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</si>
  <si>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</si>
  <si>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</si>
  <si>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</si>
  <si>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</si>
  <si>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</si>
  <si>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</si>
  <si>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</si>
  <si>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</si>
  <si>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</si>
  <si>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</si>
  <si>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</si>
  <si>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</si>
  <si>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</si>
  <si>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</si>
  <si>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</si>
  <si>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</si>
  <si>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</si>
  <si>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</si>
  <si>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</si>
  <si>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</si>
  <si>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</si>
  <si>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</si>
  <si>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</si>
  <si>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</si>
  <si>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</si>
  <si>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</si>
  <si>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</si>
  <si>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</si>
  <si>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</si>
  <si>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</si>
  <si>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</si>
  <si>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</si>
  <si>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</si>
  <si>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</si>
  <si>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</si>
  <si>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</si>
  <si>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</si>
  <si>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</si>
  <si>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</si>
  <si>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</si>
  <si>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</si>
  <si>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</si>
  <si>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</si>
  <si>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</si>
  <si>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</si>
  <si>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</si>
  <si>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</si>
  <si>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</si>
  <si>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</si>
  <si>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</si>
  <si>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</si>
  <si>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</si>
  <si>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</si>
  <si>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</si>
  <si>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</si>
  <si>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</si>
  <si>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</si>
  <si>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</si>
  <si>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</si>
  <si>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</si>
  <si>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</si>
  <si>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</si>
  <si>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</si>
  <si>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</si>
  <si>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</si>
  <si>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</si>
  <si>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</si>
  <si>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</si>
  <si>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</si>
  <si>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</si>
  <si>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</si>
  <si>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</si>
  <si>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</si>
  <si>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</si>
  <si>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</si>
  <si>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</si>
  <si>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</si>
  <si>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</si>
  <si>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</si>
  <si>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</si>
  <si>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</si>
  <si>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</si>
  <si>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</si>
  <si>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</si>
  <si>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</si>
  <si>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</si>
  <si>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</si>
  <si>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</si>
  <si>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</si>
  <si>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</si>
  <si>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</si>
  <si>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</si>
  <si>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</si>
  <si>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</si>
  <si>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</si>
  <si>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</si>
  <si>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</si>
  <si>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</si>
  <si>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</si>
  <si>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</si>
  <si>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</si>
  <si>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</si>
  <si>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</si>
  <si>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</si>
  <si>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</si>
  <si>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</si>
  <si>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</si>
  <si>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</si>
  <si>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</si>
  <si>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</si>
  <si>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</si>
  <si>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</si>
  <si>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</si>
  <si>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</si>
  <si>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</si>
  <si>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</si>
  <si>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</si>
  <si>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</si>
  <si>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</si>
  <si>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</si>
  <si>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</si>
  <si>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</si>
  <si>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</si>
  <si>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</si>
  <si>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</si>
  <si>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</si>
  <si>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</si>
  <si>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</si>
  <si>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</si>
  <si>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</si>
  <si>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</si>
  <si>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</si>
  <si>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</si>
  <si>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</si>
  <si>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</si>
  <si>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</si>
  <si>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</si>
  <si>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</si>
  <si>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</si>
  <si>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</si>
  <si>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</si>
  <si>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</si>
  <si>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</si>
  <si>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</si>
  <si>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</si>
  <si>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</si>
  <si>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</si>
  <si>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</si>
  <si>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</si>
  <si>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</si>
  <si>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</si>
  <si>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</si>
  <si>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</si>
  <si>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</si>
  <si>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</si>
  <si>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</si>
  <si>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</si>
  <si>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</si>
  <si>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</si>
  <si>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</si>
  <si>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</si>
  <si>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</si>
  <si>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</si>
  <si>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</si>
  <si>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</si>
  <si>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</si>
  <si>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</si>
  <si>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</si>
  <si>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</si>
  <si>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</si>
  <si>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</si>
  <si>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</si>
  <si>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</si>
  <si>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</si>
  <si>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</si>
  <si>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</si>
  <si>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</si>
  <si>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</si>
  <si>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</si>
  <si>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</si>
  <si>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</si>
  <si>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</si>
  <si>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</si>
  <si>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</si>
  <si>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</si>
  <si>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</si>
  <si>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</si>
  <si>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</si>
  <si>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</si>
  <si>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</si>
  <si>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</si>
  <si>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</si>
  <si>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</si>
  <si>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</si>
  <si>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</si>
  <si>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</si>
  <si>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</si>
  <si>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</si>
  <si>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</si>
  <si>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</si>
  <si>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</si>
  <si>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</si>
  <si>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</si>
  <si>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</si>
  <si>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</si>
  <si>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</si>
  <si>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</si>
  <si>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</si>
  <si>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</si>
  <si>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</si>
  <si>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</si>
  <si>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</si>
  <si>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</si>
  <si>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</si>
  <si>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</si>
  <si>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</si>
  <si>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</si>
  <si>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</si>
  <si>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</si>
  <si>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</si>
  <si>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</si>
  <si>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</si>
  <si>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</si>
  <si>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</si>
  <si>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</si>
  <si>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</si>
  <si>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</si>
  <si>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</si>
  <si>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</si>
  <si>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</si>
  <si>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</si>
  <si>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</si>
  <si>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</si>
  <si>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</si>
  <si>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</si>
  <si>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</si>
  <si>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</si>
  <si>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</si>
  <si>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</si>
  <si>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</si>
  <si>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</si>
  <si>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</si>
  <si>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</si>
  <si>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</si>
  <si>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</si>
  <si>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</si>
  <si>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</si>
  <si>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</si>
  <si>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</si>
  <si>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</si>
  <si>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</si>
  <si>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</si>
  <si>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</si>
  <si>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</si>
  <si>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</si>
  <si>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</si>
  <si>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</si>
  <si>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</si>
  <si>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</si>
  <si>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</si>
  <si>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</si>
  <si>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</si>
  <si>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</si>
  <si>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</si>
  <si>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</si>
  <si>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</si>
  <si>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</si>
  <si>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</si>
  <si>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</si>
  <si>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</si>
  <si>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</si>
  <si>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</si>
  <si>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</si>
  <si>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</si>
  <si>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</si>
  <si>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</si>
  <si>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</si>
  <si>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</si>
  <si>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</si>
  <si>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</si>
  <si>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</si>
  <si>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</si>
  <si>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</si>
  <si>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</si>
  <si>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</si>
  <si>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</si>
  <si>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</si>
  <si>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</si>
  <si>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</si>
  <si>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</si>
  <si>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</si>
  <si>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</si>
  <si>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</si>
  <si>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</si>
  <si>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</si>
  <si>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</si>
  <si>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</si>
  <si>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</si>
  <si>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</si>
  <si>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</si>
  <si>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</si>
  <si>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</si>
  <si>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</si>
  <si>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</si>
  <si>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</si>
  <si>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</si>
  <si>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</si>
  <si>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</si>
  <si>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</si>
  <si>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</si>
  <si>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</si>
  <si>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</si>
  <si>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</si>
  <si>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</si>
  <si>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</si>
  <si>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</si>
  <si>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</si>
  <si>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</si>
  <si>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</si>
  <si>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</si>
  <si>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</si>
  <si>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</si>
  <si>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</si>
  <si>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</si>
  <si>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</si>
  <si>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</si>
  <si>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</si>
  <si>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</si>
  <si>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</si>
  <si>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</si>
  <si>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</si>
  <si>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</si>
  <si>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</si>
  <si>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</si>
  <si>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</si>
  <si>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</si>
  <si>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</si>
  <si>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</si>
  <si>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</si>
  <si>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</si>
  <si>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</si>
  <si>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</si>
  <si>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</si>
  <si>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</si>
  <si>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</si>
  <si>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</si>
  <si>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</si>
  <si>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</si>
  <si>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</si>
  <si>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</si>
  <si>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</si>
  <si>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</si>
  <si>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</si>
  <si>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</si>
  <si>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</si>
  <si>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</si>
  <si>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</si>
  <si>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</si>
  <si>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</si>
  <si>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</si>
  <si>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</si>
  <si>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</si>
  <si>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</si>
  <si>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</si>
  <si>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</si>
  <si>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</si>
  <si>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</si>
  <si>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</si>
  <si>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</si>
  <si>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</si>
  <si>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</si>
  <si>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</si>
  <si>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</si>
  <si>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</si>
  <si>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</si>
  <si>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</si>
  <si>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</si>
  <si>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</si>
  <si>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</si>
  <si>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</si>
  <si>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</si>
  <si>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</si>
  <si>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</si>
  <si>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</si>
  <si>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</si>
  <si>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</si>
  <si>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</si>
  <si>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</si>
  <si>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</si>
  <si>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</si>
  <si>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</si>
  <si>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</si>
  <si>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</si>
  <si>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</si>
  <si>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</si>
  <si>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</si>
  <si>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</si>
  <si>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</si>
  <si>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</si>
  <si>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</si>
  <si>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</si>
  <si>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</si>
  <si>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</si>
  <si>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</si>
  <si>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</si>
  <si>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</si>
  <si>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</si>
  <si>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</si>
  <si>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</si>
  <si>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</si>
  <si>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</si>
  <si>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</si>
  <si>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</si>
  <si>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</si>
  <si>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</si>
  <si>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</si>
  <si>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</si>
  <si>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</si>
  <si>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</si>
  <si>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</si>
  <si>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</si>
  <si>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</si>
  <si>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</si>
  <si>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</si>
  <si>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</si>
  <si>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</si>
  <si>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</si>
  <si>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</si>
  <si>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</si>
  <si>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</si>
  <si>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</si>
  <si>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</si>
  <si>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</si>
  <si>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</si>
  <si>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</si>
  <si>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</si>
  <si>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</si>
  <si>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</si>
  <si>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</si>
  <si>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</si>
  <si>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</si>
  <si>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</si>
  <si>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</si>
  <si>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</si>
  <si>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</si>
  <si>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</si>
  <si>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</si>
  <si>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</si>
  <si>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</si>
  <si>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</si>
  <si>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</si>
  <si>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</si>
  <si>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</si>
  <si>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</si>
  <si>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</si>
  <si>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</si>
  <si>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</si>
  <si>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</si>
  <si>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</si>
  <si>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</si>
  <si>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</si>
  <si>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</si>
  <si>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</si>
  <si>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</si>
  <si>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</si>
  <si>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</si>
  <si>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</si>
  <si>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</si>
  <si>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</si>
  <si>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</si>
  <si>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</si>
  <si>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</si>
  <si>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</si>
  <si>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</si>
  <si>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</si>
  <si>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</si>
  <si>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</si>
  <si>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</si>
  <si>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</si>
  <si>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</si>
  <si>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</si>
  <si>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</si>
  <si>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</si>
  <si>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</si>
  <si>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</si>
  <si>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</si>
  <si>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</si>
  <si>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</si>
  <si>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</si>
  <si>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</si>
  <si>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</si>
  <si>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</si>
  <si>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</si>
  <si>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</si>
  <si>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</si>
  <si>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</si>
  <si>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</si>
  <si>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</si>
  <si>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</si>
  <si>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</si>
  <si>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</si>
  <si>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</si>
  <si>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</si>
  <si>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</si>
  <si>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</si>
  <si>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</si>
  <si>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</si>
  <si>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</si>
  <si>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</si>
  <si>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</si>
  <si>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</si>
  <si>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</si>
  <si>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</si>
  <si>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</si>
  <si>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</si>
  <si>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</si>
  <si>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</si>
  <si>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</si>
  <si>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</si>
  <si>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</si>
  <si>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</si>
  <si>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</si>
  <si>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</si>
  <si>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</si>
  <si>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</si>
  <si>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</si>
  <si>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</si>
  <si>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</si>
  <si>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</si>
  <si>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</si>
  <si>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</si>
  <si>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</si>
  <si>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</si>
  <si>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</si>
  <si>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</si>
  <si>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</si>
  <si>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</si>
  <si>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</si>
  <si>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</si>
  <si>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</si>
  <si>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</si>
  <si>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</si>
  <si>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</si>
  <si>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</si>
  <si>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</si>
  <si>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</si>
  <si>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</si>
  <si>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</si>
  <si>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</si>
  <si>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</si>
  <si>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</si>
  <si>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</si>
  <si>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</si>
  <si>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</si>
  <si>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</si>
  <si>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</si>
  <si>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</si>
  <si>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</si>
  <si>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</si>
  <si>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</si>
  <si>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</si>
  <si>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</si>
  <si>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</si>
  <si>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</si>
  <si>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</si>
  <si>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</si>
  <si>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</si>
  <si>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</si>
  <si>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</si>
  <si>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</si>
  <si>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</si>
  <si>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</si>
  <si>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</si>
  <si>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</si>
  <si>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</si>
  <si>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</si>
  <si>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</si>
  <si>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</si>
  <si>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</si>
  <si>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</si>
  <si>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</si>
  <si>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</si>
  <si>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</si>
  <si>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</si>
  <si>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</si>
  <si>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</si>
  <si>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</si>
  <si>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</si>
  <si>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</si>
  <si>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</si>
  <si>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</si>
  <si>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</si>
  <si>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</si>
  <si>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</si>
  <si>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</si>
  <si>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</si>
  <si>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</si>
  <si>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</si>
  <si>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</si>
  <si>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</si>
  <si>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</si>
  <si>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</si>
  <si>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</si>
  <si>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</si>
  <si>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</si>
  <si>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</si>
  <si>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</si>
  <si>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</si>
  <si>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</si>
  <si>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</si>
  <si>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</si>
  <si>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</si>
  <si>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</si>
  <si>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</si>
  <si>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</si>
  <si>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</si>
  <si>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</si>
  <si>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</si>
  <si>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</si>
  <si>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</si>
  <si>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</si>
  <si>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</si>
  <si>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</si>
  <si>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</si>
  <si>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</si>
  <si>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</si>
  <si>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</si>
  <si>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</si>
  <si>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</si>
  <si>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</si>
  <si>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</si>
  <si>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</si>
  <si>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</si>
  <si>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</si>
  <si>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</si>
  <si>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</si>
  <si>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</si>
  <si>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</si>
  <si>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</si>
  <si>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</si>
  <si>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</si>
  <si>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</si>
  <si>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</si>
  <si>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</si>
  <si>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</si>
  <si>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</si>
  <si>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</si>
  <si>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</si>
  <si>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</si>
  <si>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</si>
  <si>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</si>
  <si>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</si>
  <si>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</si>
  <si>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</si>
  <si>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</si>
  <si>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</si>
  <si>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</si>
  <si>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</si>
  <si>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</si>
  <si>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</si>
  <si>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</si>
  <si>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</si>
  <si>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</si>
  <si>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</si>
  <si>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</si>
  <si>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</si>
  <si>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</si>
  <si>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</si>
  <si>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</si>
  <si>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</si>
  <si>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</si>
  <si>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</si>
  <si>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</si>
  <si>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</si>
  <si>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</si>
  <si>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</si>
  <si>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</si>
  <si>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</si>
  <si>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</si>
  <si>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</si>
  <si>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</si>
  <si>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</si>
  <si>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</si>
  <si>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</si>
  <si>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</si>
  <si>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</si>
  <si>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</si>
  <si>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</si>
  <si>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</si>
  <si>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</si>
  <si>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</si>
  <si>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</si>
  <si>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</si>
  <si>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</si>
  <si>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</si>
  <si>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</si>
  <si>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</si>
  <si>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</si>
  <si>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</si>
  <si>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</si>
  <si>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</si>
  <si>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</si>
  <si>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</si>
  <si>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</si>
  <si>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</si>
  <si>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</si>
  <si>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</si>
  <si>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</si>
  <si>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</si>
  <si>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</si>
  <si>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</si>
  <si>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</si>
  <si>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</si>
  <si>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</si>
  <si>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</si>
  <si>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</si>
  <si>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</si>
  <si>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</si>
  <si>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</si>
  <si>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</si>
  <si>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</si>
  <si>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</si>
  <si>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</si>
  <si>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</si>
  <si>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</si>
  <si>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</si>
  <si>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</si>
  <si>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</si>
  <si>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</si>
  <si>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</si>
  <si>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</si>
  <si>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</si>
  <si>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</si>
  <si>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</si>
  <si>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</si>
  <si>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</si>
  <si>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</si>
  <si>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</si>
  <si>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</si>
  <si>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</si>
  <si>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</si>
  <si>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</si>
  <si>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</si>
  <si>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</si>
  <si>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</si>
  <si>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</si>
  <si>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</si>
  <si>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</si>
  <si>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</si>
  <si>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</si>
  <si>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</si>
  <si>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</si>
  <si>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</si>
  <si>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</si>
  <si>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</si>
  <si>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</si>
  <si>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</si>
  <si>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</si>
  <si>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</si>
  <si>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</si>
  <si>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</si>
  <si>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</si>
  <si>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</si>
  <si>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</si>
  <si>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</si>
  <si>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</si>
  <si>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</si>
  <si>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</si>
  <si>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</si>
  <si>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</si>
  <si>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</si>
  <si>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</si>
  <si>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</si>
  <si>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</si>
  <si>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</si>
  <si>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</si>
  <si>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</si>
  <si>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</si>
  <si>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</si>
  <si>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</si>
  <si>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</si>
  <si>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</si>
  <si>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</si>
  <si>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</si>
  <si>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</si>
  <si>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</si>
  <si>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</si>
  <si>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</si>
  <si>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</si>
  <si>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</si>
  <si>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</si>
  <si>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</si>
  <si>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</si>
  <si>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</si>
  <si>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</si>
  <si>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</si>
  <si>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</si>
  <si>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</si>
  <si>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</si>
  <si>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</si>
  <si>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</si>
  <si>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</si>
  <si>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</si>
  <si>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</si>
  <si>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</si>
  <si>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</si>
  <si>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</si>
  <si>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</si>
  <si>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</si>
  <si>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</si>
  <si>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</si>
  <si>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</si>
  <si>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</si>
  <si>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</si>
  <si>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</si>
  <si>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</si>
  <si>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</si>
  <si>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</si>
  <si>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</si>
  <si>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</si>
  <si>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</si>
  <si>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</si>
  <si>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</si>
  <si>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</si>
  <si>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</si>
  <si>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</si>
  <si>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</si>
  <si>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</si>
  <si>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</si>
  <si>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</si>
  <si>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</si>
  <si>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</si>
  <si>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</si>
  <si>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</si>
  <si>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</si>
  <si>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</si>
  <si>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</si>
  <si>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</si>
  <si>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</si>
  <si>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</si>
  <si>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</si>
  <si>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</si>
  <si>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</si>
  <si>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</si>
  <si>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</si>
  <si>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</si>
  <si>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</si>
  <si>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</si>
  <si>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</si>
  <si>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</si>
  <si>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</si>
  <si>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</si>
  <si>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</si>
  <si>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</si>
  <si>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</si>
  <si>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</si>
  <si>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</si>
  <si>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</si>
  <si>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</si>
  <si>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</si>
  <si>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</si>
  <si>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</si>
  <si>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</si>
  <si>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</si>
  <si>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</si>
  <si>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</si>
  <si>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</si>
  <si>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</si>
  <si>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</si>
  <si>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</si>
  <si>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</si>
  <si>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</si>
  <si>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</si>
  <si>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</si>
  <si>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</si>
  <si>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</si>
  <si>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</si>
  <si>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</si>
  <si>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</si>
  <si>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</si>
  <si>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</si>
  <si>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</si>
  <si>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</si>
  <si>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</si>
  <si>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</si>
  <si>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</si>
  <si>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</si>
  <si>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</si>
  <si>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</si>
  <si>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</si>
  <si>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</si>
  <si>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</si>
  <si>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</si>
  <si>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</si>
  <si>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</si>
  <si>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</si>
  <si>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</si>
  <si>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</si>
  <si>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</si>
  <si>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</si>
  <si>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</si>
  <si>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</si>
  <si>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</si>
  <si>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</si>
  <si>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</si>
  <si>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</si>
  <si>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</si>
  <si>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</si>
  <si>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</si>
  <si>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</si>
  <si>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</si>
  <si>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</si>
  <si>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</si>
  <si>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</si>
  <si>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</si>
  <si>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</si>
  <si>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</si>
  <si>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</si>
  <si>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</si>
  <si>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</si>
  <si>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</si>
  <si>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</si>
  <si>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</si>
  <si>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</si>
  <si>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</si>
  <si>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</si>
  <si>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</si>
  <si>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</si>
  <si>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</si>
  <si>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</si>
  <si>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</si>
  <si>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</si>
  <si>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</si>
  <si>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</si>
  <si>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</si>
  <si>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</si>
  <si>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</si>
  <si>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</si>
  <si>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</si>
  <si>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</si>
  <si>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</si>
  <si>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</si>
  <si>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</si>
  <si>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</si>
  <si>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</si>
  <si>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</si>
  <si>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</si>
  <si>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</si>
  <si>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</si>
  <si>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</si>
  <si>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</si>
  <si>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</si>
  <si>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</si>
  <si>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</si>
  <si>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</si>
  <si>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</si>
  <si>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</si>
  <si>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</si>
  <si>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</si>
  <si>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</si>
  <si>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</si>
  <si>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</si>
  <si>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</si>
  <si>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</si>
  <si>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</si>
  <si>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</si>
  <si>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</si>
  <si>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</si>
  <si>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</si>
  <si>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</si>
  <si>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</si>
  <si>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</si>
  <si>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</si>
  <si>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</si>
  <si>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</si>
  <si>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</si>
  <si>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</si>
  <si>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</si>
  <si>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</si>
  <si>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</si>
  <si>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</si>
  <si>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</si>
  <si>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</si>
  <si>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</si>
  <si>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</si>
  <si>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</si>
  <si>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</si>
  <si>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</si>
  <si>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</si>
  <si>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</si>
  <si>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</si>
  <si>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</si>
  <si>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</si>
  <si>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</si>
  <si>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</si>
  <si>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</si>
  <si>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</si>
  <si>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</si>
  <si>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</si>
  <si>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</si>
  <si>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</si>
  <si>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</si>
  <si>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</si>
  <si>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</si>
  <si>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</si>
  <si>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</si>
  <si>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</si>
  <si>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</si>
  <si>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</si>
  <si>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</si>
  <si>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</si>
  <si>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</si>
  <si>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</si>
  <si>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</si>
  <si>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</si>
  <si>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</si>
  <si>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</si>
  <si>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</si>
  <si>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</si>
  <si>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</si>
  <si>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</si>
  <si>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</si>
  <si>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</si>
  <si>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</si>
  <si>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</si>
  <si>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</si>
  <si>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</si>
  <si>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</si>
  <si>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</si>
  <si>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</si>
  <si>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</si>
  <si>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</si>
  <si>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</si>
  <si>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</si>
  <si>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</si>
  <si>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</si>
  <si>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</si>
  <si>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</si>
  <si>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</si>
  <si>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</si>
  <si>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</si>
  <si>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</si>
  <si>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</si>
  <si>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</si>
  <si>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</si>
  <si>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</si>
  <si>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</si>
  <si>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</si>
  <si>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</si>
  <si>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</si>
  <si>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</si>
  <si>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</si>
  <si>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</si>
  <si>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</si>
  <si>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</si>
  <si>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</si>
  <si>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</si>
  <si>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</si>
  <si>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</si>
  <si>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</si>
  <si>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</si>
  <si>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</si>
  <si>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</si>
  <si>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</si>
  <si>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</si>
  <si>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</si>
  <si>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</si>
  <si>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</si>
  <si>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</si>
  <si>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</si>
  <si>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</si>
  <si>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</si>
  <si>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</si>
  <si>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</si>
  <si>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</si>
  <si>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</si>
  <si>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</si>
  <si>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</si>
  <si>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</si>
  <si>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</si>
  <si>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</si>
  <si>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</si>
  <si>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</si>
  <si>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</si>
  <si>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</si>
  <si>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</si>
  <si>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</si>
  <si>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</si>
  <si>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</si>
  <si>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</si>
  <si>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</si>
  <si>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</si>
  <si>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</si>
  <si>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</si>
  <si>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</si>
  <si>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</si>
  <si>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</si>
  <si>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</si>
  <si>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</si>
  <si>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</si>
  <si>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</si>
  <si>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</si>
  <si>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</si>
  <si>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</si>
  <si>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</si>
  <si>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</si>
  <si>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</si>
  <si>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</si>
  <si>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</si>
  <si>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</si>
  <si>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</si>
  <si>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</si>
  <si>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</si>
  <si>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</si>
  <si>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</si>
  <si>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</si>
  <si>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</si>
  <si>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</si>
  <si>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</si>
  <si>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</si>
  <si>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</si>
  <si>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</si>
  <si>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</si>
  <si>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</si>
  <si>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</si>
  <si>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</si>
  <si>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</si>
  <si>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</si>
  <si>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</si>
  <si>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</si>
  <si>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</si>
  <si>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</si>
  <si>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</si>
  <si>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</si>
  <si>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</si>
  <si>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</si>
  <si>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</si>
  <si>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</si>
  <si>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</si>
  <si>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</si>
  <si>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</si>
  <si>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</si>
  <si>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</si>
  <si>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</si>
  <si>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</si>
  <si>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</si>
  <si>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</si>
  <si>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</si>
  <si>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</si>
  <si>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</si>
  <si>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</si>
  <si>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</si>
  <si>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</si>
  <si>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</si>
  <si>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</si>
  <si>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</si>
  <si>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</si>
  <si>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</si>
  <si>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</si>
  <si>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</si>
  <si>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</si>
  <si>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</si>
  <si>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</si>
  <si>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</si>
  <si>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</si>
  <si>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</si>
  <si>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</si>
  <si>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</si>
  <si>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</si>
  <si>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</si>
  <si>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</si>
  <si>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</si>
  <si>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</si>
  <si>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</si>
  <si>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</si>
  <si>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</si>
  <si>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</si>
  <si>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</si>
  <si>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</si>
  <si>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</si>
  <si>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</si>
  <si>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</si>
  <si>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</si>
  <si>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</si>
  <si>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</si>
  <si>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</si>
  <si>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</si>
  <si>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</si>
  <si>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</si>
  <si>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</si>
  <si>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</si>
  <si>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</si>
  <si>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</si>
  <si>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</si>
  <si>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</si>
  <si>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</si>
  <si>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</si>
  <si>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</si>
  <si>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</si>
  <si>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</si>
  <si>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</si>
  <si>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</si>
  <si>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</si>
  <si>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</si>
  <si>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</si>
  <si>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</si>
  <si>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</si>
  <si>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</si>
  <si>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</si>
  <si>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</si>
  <si>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</si>
  <si>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</si>
  <si>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</si>
  <si>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</si>
  <si>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</si>
  <si>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</si>
  <si>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</si>
  <si>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</si>
  <si>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</si>
  <si>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</si>
  <si>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</si>
  <si>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</si>
  <si>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</si>
  <si>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</si>
  <si>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</si>
  <si>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</si>
  <si>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</si>
  <si>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</si>
  <si>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</si>
  <si>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</si>
  <si>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</si>
  <si>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</si>
  <si>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</si>
  <si>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</si>
  <si>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</si>
  <si>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</si>
  <si>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</si>
  <si>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</si>
  <si>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</si>
  <si>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</si>
  <si>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</si>
  <si>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</si>
  <si>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</si>
  <si>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</si>
  <si>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</si>
  <si>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</si>
  <si>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</si>
  <si>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</si>
  <si>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</si>
  <si>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</si>
  <si>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</si>
  <si>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</si>
  <si>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</si>
  <si>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</si>
  <si>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</si>
  <si>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</si>
  <si>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</si>
  <si>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</si>
  <si>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</si>
  <si>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</si>
  <si>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</si>
  <si>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</si>
  <si>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</si>
  <si>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</si>
  <si>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</si>
  <si>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</si>
  <si>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</si>
  <si>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</si>
  <si>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</si>
  <si>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</si>
  <si>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</si>
  <si>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</si>
  <si>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</si>
  <si>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</si>
  <si>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</si>
  <si>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</si>
  <si>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</si>
  <si>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</si>
  <si>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</si>
  <si>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</si>
  <si>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</si>
  <si>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</si>
  <si>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</si>
  <si>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</si>
  <si>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</si>
  <si>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</si>
  <si>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</si>
  <si>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</si>
  <si>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</si>
  <si>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</si>
  <si>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</si>
  <si>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</si>
  <si>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</si>
  <si>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</si>
  <si>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</si>
  <si>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</si>
  <si>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</si>
  <si>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</si>
  <si>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</si>
  <si>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</si>
  <si>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</si>
  <si>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</si>
  <si>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</si>
  <si>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</si>
  <si>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</si>
  <si>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</si>
  <si>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</si>
  <si>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</si>
  <si>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</si>
  <si>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</si>
  <si>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</si>
  <si>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</si>
  <si>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</si>
  <si>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</si>
  <si>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</si>
  <si>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</si>
  <si>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</si>
  <si>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</si>
  <si>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</si>
  <si>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</si>
  <si>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</si>
  <si>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</si>
  <si>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</si>
  <si>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</si>
  <si>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</si>
  <si>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</si>
  <si>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</si>
  <si>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</si>
  <si>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</si>
  <si>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</si>
  <si>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</si>
  <si>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</si>
  <si>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</si>
  <si>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</si>
  <si>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</si>
  <si>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</si>
  <si>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</si>
  <si>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</si>
  <si>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</si>
  <si>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</si>
  <si>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</si>
  <si>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</si>
  <si>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</si>
  <si>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</si>
  <si>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</si>
  <si>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</si>
  <si>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</si>
  <si>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</si>
  <si>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</si>
  <si>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</si>
  <si>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</si>
  <si>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</si>
  <si>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</si>
  <si>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</si>
  <si>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</si>
  <si>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</si>
  <si>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</si>
  <si>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</si>
  <si>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</si>
  <si>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</si>
  <si>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</si>
  <si>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</si>
  <si>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</si>
  <si>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</si>
  <si>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</si>
  <si>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</si>
  <si>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</si>
  <si>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</si>
  <si>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</si>
  <si>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</si>
  <si>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</si>
  <si>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</si>
  <si>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</si>
  <si>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</si>
  <si>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</si>
  <si>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</si>
  <si>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</si>
  <si>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</si>
  <si>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</si>
  <si>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</si>
  <si>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</si>
  <si>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</si>
  <si>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</si>
  <si>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</si>
  <si>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</si>
  <si>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</si>
  <si>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</si>
  <si>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</si>
  <si>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</si>
  <si>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</si>
  <si>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</si>
  <si>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</si>
  <si>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</si>
  <si>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</si>
  <si>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</si>
  <si>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</si>
  <si>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</si>
  <si>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</si>
  <si>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</si>
  <si>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</si>
  <si>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</si>
  <si>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</si>
  <si>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</si>
  <si>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</si>
  <si>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</si>
  <si>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</si>
  <si>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</si>
  <si>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</si>
  <si>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</si>
  <si>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</si>
  <si>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</si>
  <si>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</si>
  <si>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</si>
  <si>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</si>
  <si>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</si>
  <si>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</si>
  <si>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</si>
  <si>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</si>
  <si>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</si>
  <si>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</si>
  <si>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</si>
  <si>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</si>
  <si>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</si>
  <si>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</si>
  <si>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</si>
  <si>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</si>
  <si>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</si>
  <si>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</si>
  <si>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</si>
  <si>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</si>
  <si>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</si>
  <si>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</si>
  <si>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</si>
  <si>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</si>
  <si>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</si>
  <si>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</si>
  <si>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</si>
  <si>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</si>
  <si>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</si>
  <si>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</si>
  <si>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</si>
  <si>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</si>
  <si>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</si>
  <si>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</si>
  <si>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</si>
  <si>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</si>
  <si>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</si>
  <si>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</si>
  <si>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</si>
  <si>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</si>
  <si>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</si>
  <si>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</si>
  <si>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</si>
  <si>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</si>
  <si>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</si>
  <si>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</si>
  <si>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</si>
  <si>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</si>
  <si>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</si>
  <si>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</si>
  <si>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</si>
  <si>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</si>
  <si>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</si>
  <si>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</si>
  <si>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</si>
  <si>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</si>
  <si>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</si>
  <si>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</si>
  <si>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</si>
  <si>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</si>
  <si>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</si>
  <si>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</si>
  <si>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</si>
  <si>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</si>
  <si>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</si>
  <si>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</si>
  <si>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</si>
  <si>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</si>
  <si>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</si>
  <si>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</si>
  <si>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</si>
  <si>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</si>
  <si>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</si>
  <si>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</si>
  <si>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</si>
  <si>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</si>
  <si>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</si>
  <si>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</si>
  <si>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</si>
  <si>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</si>
  <si>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</si>
  <si>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</si>
  <si>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</si>
  <si>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</si>
  <si>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</si>
  <si>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</si>
  <si>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</si>
  <si>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</si>
  <si>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</si>
  <si>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</si>
  <si>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</si>
  <si>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</si>
  <si>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</si>
  <si>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</si>
  <si>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</si>
  <si>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</si>
  <si>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</si>
  <si>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</si>
  <si>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</si>
  <si>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</si>
  <si>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</si>
  <si>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</si>
  <si>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</si>
  <si>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</si>
  <si>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</si>
  <si>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</si>
  <si>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</si>
  <si>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</si>
  <si>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</si>
  <si>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</si>
  <si>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</si>
  <si>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</si>
  <si>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</si>
  <si>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</si>
  <si>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</si>
  <si>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</si>
  <si>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</si>
  <si>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</si>
  <si>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</si>
  <si>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</si>
  <si>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</si>
  <si>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</si>
  <si>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</si>
  <si>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</si>
  <si>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</si>
  <si>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</si>
  <si>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</si>
  <si>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</si>
  <si>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</si>
  <si>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</si>
  <si>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</si>
  <si>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</si>
  <si>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</si>
  <si>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</si>
  <si>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</si>
  <si>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</si>
  <si>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</si>
  <si>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</si>
  <si>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</si>
  <si>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</si>
  <si>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</si>
  <si>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</si>
  <si>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</si>
  <si>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</si>
  <si>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</si>
  <si>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</si>
  <si>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</si>
  <si>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</si>
  <si>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</si>
  <si>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</si>
  <si>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</si>
  <si>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</si>
  <si>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</si>
  <si>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</si>
  <si>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</si>
  <si>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</si>
  <si>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</si>
  <si>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</si>
  <si>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</si>
  <si>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</si>
  <si>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</si>
  <si>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</si>
  <si>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</si>
  <si>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</si>
  <si>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</si>
  <si>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</si>
  <si>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</si>
  <si>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</si>
  <si>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</si>
  <si>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</si>
  <si>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</si>
  <si>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</si>
  <si>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</si>
  <si>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</si>
  <si>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</si>
  <si>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</si>
  <si>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</si>
  <si>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</si>
  <si>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</si>
  <si>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</si>
  <si>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</si>
  <si>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</si>
  <si>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</si>
  <si>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</si>
  <si>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</si>
  <si>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</si>
  <si>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</si>
  <si>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</si>
  <si>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</si>
  <si>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</si>
  <si>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</si>
  <si>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</si>
  <si>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</si>
  <si>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</si>
  <si>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</si>
  <si>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</si>
  <si>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</si>
  <si>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</si>
  <si>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</si>
  <si>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</si>
  <si>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</si>
  <si>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</si>
  <si>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</si>
  <si>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</si>
  <si>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</si>
  <si>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</si>
  <si>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</si>
  <si>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</si>
  <si>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</si>
  <si>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</si>
  <si>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</si>
  <si>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</si>
  <si>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</si>
  <si>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</si>
  <si>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</si>
  <si>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</si>
  <si>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</si>
  <si>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</si>
  <si>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</si>
  <si>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</si>
  <si>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</si>
  <si>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</si>
  <si>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</si>
  <si>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</si>
  <si>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</si>
  <si>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</si>
  <si>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</si>
  <si>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</si>
  <si>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</si>
  <si>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</si>
  <si>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</si>
  <si>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</si>
  <si>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</si>
  <si>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</si>
  <si>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</si>
  <si>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</si>
  <si>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</si>
  <si>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</si>
  <si>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</si>
  <si>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</si>
  <si>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</si>
  <si>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</si>
  <si>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</si>
  <si>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</si>
  <si>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</si>
  <si>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</si>
  <si>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</si>
  <si>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</si>
  <si>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</si>
  <si>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</si>
  <si>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</si>
  <si>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</si>
  <si>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</si>
  <si>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</si>
  <si>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</si>
  <si>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</si>
  <si>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</si>
  <si>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</si>
  <si>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</si>
  <si>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</si>
  <si>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</si>
  <si>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</si>
  <si>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</si>
  <si>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</si>
  <si>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</si>
  <si>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</si>
  <si>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</si>
  <si>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</si>
  <si>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</si>
  <si>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</si>
  <si>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</si>
  <si>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</si>
  <si>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</si>
  <si>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</si>
  <si>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</si>
  <si>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</si>
  <si>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</si>
  <si>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</si>
  <si>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</si>
  <si>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</si>
  <si>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</si>
  <si>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</si>
  <si>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</si>
  <si>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</si>
  <si>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</si>
  <si>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</si>
  <si>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</si>
  <si>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</si>
  <si>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</si>
  <si>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</si>
  <si>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</si>
  <si>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</si>
  <si>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</si>
  <si>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</si>
  <si>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</si>
  <si>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</si>
  <si>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</si>
  <si>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</si>
  <si>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</si>
  <si>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</si>
  <si>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</si>
  <si>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</si>
  <si>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</si>
  <si>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</si>
  <si>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</si>
  <si>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</si>
  <si>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</si>
  <si>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</si>
  <si>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</si>
  <si>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</si>
  <si>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</si>
  <si>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</si>
  <si>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</si>
  <si>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</si>
  <si>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</si>
  <si>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</si>
  <si>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</si>
  <si>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</si>
  <si>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</si>
  <si>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</si>
  <si>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</si>
  <si>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</si>
  <si>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</si>
  <si>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</si>
  <si>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</si>
  <si>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</si>
  <si>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</si>
  <si>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</si>
  <si>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</si>
  <si>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</si>
  <si>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</si>
  <si>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</si>
  <si>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</si>
  <si>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</si>
  <si>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</si>
  <si>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</si>
  <si>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</si>
  <si>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</si>
  <si>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</si>
  <si>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</si>
  <si>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</si>
  <si>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</si>
  <si>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</si>
  <si>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</si>
  <si>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</si>
  <si>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</si>
  <si>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</si>
  <si>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</si>
  <si>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</si>
  <si>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</si>
  <si>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</si>
  <si>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</si>
  <si>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</si>
  <si>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</si>
  <si>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</si>
  <si>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</si>
  <si>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</si>
  <si>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</si>
  <si>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</si>
  <si>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</si>
  <si>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</si>
  <si>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</si>
  <si>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</si>
  <si>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</si>
  <si>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</si>
  <si>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</si>
  <si>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</si>
  <si>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</si>
  <si>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</si>
  <si>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</si>
  <si>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</si>
  <si>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</si>
  <si>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</si>
  <si>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</si>
  <si>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</si>
  <si>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</si>
  <si>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</si>
  <si>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</si>
  <si>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</si>
  <si>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</si>
  <si>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</si>
  <si>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</si>
  <si>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</si>
  <si>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</si>
  <si>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</si>
  <si>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</si>
  <si>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</si>
  <si>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</si>
  <si>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</si>
  <si>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</si>
  <si>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</si>
  <si>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</si>
  <si>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</si>
  <si>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</si>
  <si>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</si>
  <si>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</si>
  <si>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</si>
  <si>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</si>
  <si>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</si>
  <si>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</si>
  <si>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</si>
  <si>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</si>
  <si>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</si>
  <si>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</si>
  <si>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</si>
  <si>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</si>
  <si>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</si>
  <si>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</si>
  <si>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</si>
  <si>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</si>
  <si>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</si>
  <si>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</si>
  <si>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</si>
  <si>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</si>
  <si>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</si>
  <si>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</si>
  <si>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</si>
  <si>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</si>
  <si>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</si>
  <si>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</si>
  <si>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</si>
  <si>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</si>
  <si>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</si>
  <si>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</si>
  <si>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</si>
  <si>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</si>
  <si>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</si>
  <si>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</si>
  <si>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</si>
  <si>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</si>
  <si>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</si>
  <si>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</si>
  <si>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</si>
  <si>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</si>
  <si>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</si>
  <si>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</si>
  <si>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</si>
  <si>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</si>
  <si>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</si>
  <si>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</si>
  <si>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</si>
  <si>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</si>
  <si>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</si>
  <si>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</si>
  <si>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</si>
  <si>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</si>
  <si>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</si>
  <si>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</si>
  <si>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</si>
  <si>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</si>
  <si>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</si>
  <si>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</si>
  <si>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</si>
  <si>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</si>
  <si>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</si>
  <si>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</si>
  <si>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</si>
  <si>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</si>
  <si>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</si>
  <si>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</si>
  <si>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</si>
  <si>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</si>
  <si>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</si>
  <si>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</si>
  <si>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</si>
  <si>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</si>
  <si>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</si>
  <si>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</si>
  <si>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</si>
  <si>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</si>
  <si>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</si>
  <si>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</si>
  <si>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</si>
  <si>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</si>
  <si>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</si>
  <si>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</si>
  <si>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</si>
  <si>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</si>
  <si>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</si>
  <si>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</si>
  <si>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</si>
  <si>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</si>
  <si>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</si>
  <si>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</si>
  <si>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</si>
  <si>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</si>
  <si>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</si>
  <si>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</si>
  <si>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</si>
  <si>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</si>
  <si>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</si>
  <si>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</si>
  <si>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</si>
  <si>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</si>
  <si>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</si>
  <si>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</si>
  <si>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</si>
  <si>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</si>
  <si>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</si>
  <si>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</si>
  <si>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</si>
  <si>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</si>
  <si>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</si>
  <si>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</si>
  <si>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</si>
  <si>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</si>
  <si>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</si>
  <si>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</si>
  <si>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</si>
  <si>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</si>
  <si>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</si>
  <si>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</si>
  <si>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</si>
  <si>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</si>
  <si>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</si>
  <si>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</si>
  <si>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</si>
  <si>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</si>
  <si>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</si>
  <si>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</si>
  <si>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</si>
  <si>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</si>
  <si>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</si>
  <si>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</si>
  <si>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</si>
  <si>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</si>
  <si>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</si>
  <si>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</si>
  <si>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</si>
  <si>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</si>
  <si>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</si>
  <si>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</si>
  <si>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</si>
  <si>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</si>
  <si>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</si>
  <si>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</si>
  <si>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</si>
  <si>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</si>
  <si>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</si>
  <si>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</si>
  <si>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</si>
  <si>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</si>
  <si>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</si>
  <si>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</si>
  <si>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</si>
  <si>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</si>
  <si>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</si>
  <si>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</si>
  <si>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</si>
  <si>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</si>
  <si>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</si>
  <si>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</si>
  <si>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</si>
  <si>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</si>
  <si>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</si>
  <si>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</si>
  <si>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</si>
  <si>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</si>
  <si>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</si>
  <si>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</si>
  <si>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</si>
  <si>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</si>
  <si>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</si>
  <si>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</si>
  <si>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</si>
  <si>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</si>
  <si>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</si>
  <si>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</si>
  <si>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</si>
  <si>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</si>
  <si>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</si>
  <si>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</si>
  <si>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</si>
  <si>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</si>
  <si>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</si>
  <si>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</si>
  <si>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</si>
  <si>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</si>
  <si>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</si>
  <si>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</si>
  <si>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</si>
  <si>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</si>
  <si>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</si>
  <si>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</si>
  <si>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</si>
  <si>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</si>
  <si>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</si>
  <si>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</si>
  <si>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</si>
  <si>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</si>
  <si>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</si>
  <si>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</si>
  <si>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</si>
  <si>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</si>
  <si>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</si>
  <si>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</si>
  <si>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</si>
  <si>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</si>
  <si>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</si>
  <si>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</si>
  <si>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</si>
  <si>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</si>
  <si>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</si>
  <si>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</si>
  <si>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</si>
  <si>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</si>
  <si>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</si>
  <si>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</si>
  <si>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</si>
  <si>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</si>
  <si>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</si>
  <si>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</si>
  <si>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</si>
  <si>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</si>
  <si>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</si>
  <si>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</si>
  <si>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</si>
  <si>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</si>
  <si>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</si>
  <si>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</si>
  <si>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</si>
  <si>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</si>
  <si>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</si>
  <si>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</si>
  <si>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</si>
  <si>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</si>
  <si>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</si>
  <si>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</si>
  <si>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</si>
  <si>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</si>
  <si>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</si>
  <si>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</si>
  <si>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</si>
  <si>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</si>
  <si>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</si>
  <si>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</si>
  <si>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</si>
  <si>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</si>
  <si>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</si>
  <si>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</si>
  <si>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</si>
  <si>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</si>
  <si>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</si>
  <si>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</si>
  <si>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</si>
  <si>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</si>
  <si>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</si>
  <si>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</si>
  <si>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</si>
  <si>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</si>
  <si>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</si>
  <si>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</si>
  <si>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</si>
  <si>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</si>
  <si>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</si>
  <si>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</si>
  <si>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</si>
  <si>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</si>
  <si>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</si>
  <si>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</si>
  <si>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</si>
  <si>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</si>
  <si>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</si>
  <si>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</si>
  <si>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</si>
  <si>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</si>
  <si>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</si>
  <si>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</si>
  <si>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</si>
  <si>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</si>
  <si>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</si>
  <si>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</si>
  <si>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</si>
  <si>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</si>
  <si>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</si>
  <si>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</si>
  <si>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</si>
  <si>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</si>
  <si>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</si>
  <si>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</si>
  <si>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</si>
  <si>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</si>
  <si>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</si>
  <si>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</si>
  <si>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</si>
  <si>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</si>
  <si>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</si>
  <si>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</si>
  <si>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</si>
  <si>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</si>
  <si>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</si>
  <si>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</si>
  <si>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</si>
  <si>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</si>
  <si>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</si>
  <si>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</si>
  <si>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</si>
  <si>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</si>
  <si>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</si>
  <si>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</si>
  <si>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</si>
  <si>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</si>
  <si>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</si>
  <si>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</si>
  <si>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</si>
  <si>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</si>
  <si>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</si>
  <si>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</si>
  <si>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</si>
  <si>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</si>
  <si>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</si>
  <si>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</si>
  <si>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</si>
  <si>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</si>
  <si>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</si>
  <si>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</si>
  <si>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</si>
  <si>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</si>
  <si>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</si>
  <si>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</si>
  <si>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</si>
  <si>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</si>
  <si>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</si>
  <si>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</si>
  <si>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</si>
  <si>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</si>
  <si>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</si>
  <si>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</si>
  <si>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</si>
  <si>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</si>
  <si>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</si>
  <si>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</si>
  <si>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</si>
  <si>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</si>
  <si>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</si>
  <si>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</si>
  <si>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</si>
  <si>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</si>
  <si>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</si>
  <si>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</si>
  <si>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</si>
  <si>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</si>
  <si>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</si>
  <si>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</si>
  <si>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</si>
  <si>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</si>
  <si>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</si>
  <si>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</si>
  <si>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</si>
  <si>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</si>
  <si>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</si>
  <si>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</si>
  <si>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</si>
  <si>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</si>
  <si>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</si>
  <si>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</si>
  <si>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</si>
  <si>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</si>
  <si>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</si>
  <si>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</si>
  <si>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</si>
  <si>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</si>
  <si>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</si>
  <si>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</si>
  <si>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</si>
  <si>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</si>
  <si>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</si>
  <si>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</si>
  <si>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</si>
  <si>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</si>
  <si>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</si>
  <si>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</si>
  <si>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</si>
  <si>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</si>
  <si>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</si>
  <si>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</si>
  <si>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</si>
  <si>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</si>
  <si>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</si>
  <si>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</si>
  <si>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</si>
  <si>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</si>
  <si>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</si>
  <si>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</si>
  <si>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</si>
  <si>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</si>
  <si>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</si>
  <si>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</si>
  <si>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</si>
  <si>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</si>
  <si>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</si>
  <si>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</si>
  <si>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</si>
  <si>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</si>
  <si>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</si>
  <si>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</si>
  <si>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</si>
  <si>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</si>
  <si>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</si>
  <si>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</si>
  <si>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</si>
  <si>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</si>
  <si>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</si>
  <si>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</si>
  <si>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</si>
  <si>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</si>
  <si>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</si>
  <si>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</si>
  <si>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</si>
  <si>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</si>
  <si>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</si>
  <si>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</si>
  <si>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</si>
  <si>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</si>
  <si>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</si>
  <si>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</si>
  <si>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</si>
  <si>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</si>
  <si>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</si>
  <si>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</si>
  <si>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</si>
  <si>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</si>
  <si>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</si>
  <si>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</si>
  <si>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</si>
  <si>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</si>
  <si>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</si>
  <si>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</si>
  <si>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</si>
  <si>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</si>
  <si>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</si>
  <si>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</si>
  <si>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</si>
  <si>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</si>
  <si>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</si>
  <si>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</si>
  <si>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</si>
  <si>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</si>
  <si>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</si>
  <si>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</si>
  <si>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</si>
  <si>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</si>
  <si>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</si>
  <si>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</si>
  <si>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</si>
  <si>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</si>
  <si>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</si>
  <si>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</si>
  <si>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</si>
  <si>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</si>
  <si>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</si>
  <si>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</si>
  <si>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</si>
  <si>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</si>
  <si>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</si>
  <si>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</si>
  <si>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</si>
  <si>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</si>
  <si>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</si>
  <si>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</si>
  <si>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</si>
  <si>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</si>
  <si>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</si>
  <si>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</si>
  <si>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</si>
  <si>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</si>
  <si>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</si>
  <si>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</si>
  <si>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</si>
  <si>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</si>
  <si>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</si>
  <si>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</si>
  <si>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</si>
  <si>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</si>
  <si>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</si>
  <si>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</si>
  <si>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</si>
  <si>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</si>
  <si>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</si>
  <si>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</si>
  <si>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</si>
  <si>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</si>
  <si>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</si>
  <si>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</si>
  <si>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</si>
  <si>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</si>
  <si>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</si>
  <si>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</si>
  <si>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</si>
  <si>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</si>
  <si>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</si>
  <si>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</si>
  <si>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</si>
  <si>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</si>
  <si>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</si>
  <si>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</si>
  <si>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</si>
  <si>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</si>
  <si>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</si>
  <si>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</si>
  <si>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</si>
  <si>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</si>
  <si>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</si>
  <si>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</si>
  <si>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</si>
  <si>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</si>
  <si>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</si>
  <si>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</si>
  <si>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</si>
  <si>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</si>
  <si>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</si>
  <si>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</si>
  <si>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</si>
  <si>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</si>
  <si>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</si>
  <si>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</si>
  <si>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</si>
  <si>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</si>
  <si>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</si>
  <si>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</si>
  <si>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</si>
  <si>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</si>
  <si>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</si>
  <si>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</si>
  <si>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</si>
  <si>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</si>
  <si>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</si>
  <si>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</si>
  <si>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</si>
  <si>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</si>
  <si>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</si>
  <si>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</si>
  <si>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</si>
  <si>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</si>
  <si>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</si>
  <si>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</si>
  <si>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</si>
  <si>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</si>
  <si>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</si>
  <si>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</si>
  <si>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</si>
  <si>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</si>
  <si>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</si>
  <si>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</si>
  <si>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</si>
  <si>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</si>
  <si>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</si>
  <si>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</si>
  <si>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</si>
  <si>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</si>
  <si>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</si>
  <si>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</si>
  <si>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</si>
  <si>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</si>
  <si>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</si>
  <si>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</si>
  <si>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</si>
  <si>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</si>
  <si>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</si>
  <si>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</si>
  <si>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</si>
  <si>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</si>
  <si>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</si>
  <si>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</si>
  <si>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</si>
  <si>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</si>
  <si>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</si>
  <si>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</si>
  <si>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</si>
  <si>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</si>
  <si>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</si>
  <si>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</si>
  <si>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</si>
  <si>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</si>
  <si>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</si>
  <si>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</si>
  <si>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</si>
  <si>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</si>
  <si>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</si>
  <si>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</si>
  <si>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</si>
  <si>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</si>
  <si>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</si>
  <si>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</si>
  <si>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</si>
  <si>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</si>
  <si>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</si>
  <si>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</si>
  <si>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</si>
  <si>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</si>
  <si>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</si>
  <si>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</si>
  <si>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</si>
  <si>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</si>
  <si>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</si>
  <si>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</si>
  <si>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</si>
  <si>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</si>
  <si>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</si>
  <si>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</si>
  <si>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</si>
  <si>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</si>
  <si>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</si>
  <si>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</si>
  <si>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</si>
  <si>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</si>
  <si>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</si>
  <si>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</si>
  <si>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</si>
  <si>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</si>
  <si>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</si>
  <si>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</si>
  <si>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</si>
  <si>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</si>
  <si>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</si>
  <si>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</si>
  <si>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</si>
  <si>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</si>
  <si>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</si>
  <si>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</si>
  <si>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</si>
  <si>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</si>
  <si>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</si>
  <si>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</si>
  <si>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</si>
  <si>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</si>
  <si>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</si>
  <si>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</si>
  <si>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</si>
  <si>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</si>
  <si>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</si>
  <si>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</si>
  <si>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</si>
  <si>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</si>
  <si>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</si>
  <si>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</si>
  <si>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</si>
  <si>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</si>
  <si>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</si>
  <si>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</si>
  <si>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</si>
  <si>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</si>
  <si>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</si>
  <si>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</si>
  <si>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</si>
  <si>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</si>
  <si>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</si>
  <si>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</si>
  <si>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</si>
  <si>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</si>
  <si>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</si>
  <si>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</si>
  <si>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</si>
  <si>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</si>
  <si>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</si>
  <si>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</si>
  <si>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</si>
  <si>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</si>
  <si>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</si>
  <si>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</si>
  <si>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</si>
  <si>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</si>
  <si>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</si>
  <si>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</si>
  <si>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</si>
  <si>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</si>
  <si>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</si>
  <si>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</si>
  <si>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</si>
  <si>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</si>
  <si>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</si>
  <si>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</si>
  <si>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</si>
  <si>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</si>
  <si>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</si>
  <si>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</si>
  <si>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</si>
  <si>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</si>
  <si>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</si>
  <si>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</si>
  <si>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</si>
  <si>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</si>
  <si>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</si>
  <si>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</si>
  <si>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</si>
  <si>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</si>
  <si>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</si>
  <si>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</si>
  <si>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</si>
  <si>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</si>
  <si>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</si>
  <si>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</si>
  <si>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</si>
  <si>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</si>
  <si>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</si>
  <si>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</si>
  <si>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</si>
  <si>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</si>
  <si>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</si>
  <si>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</si>
  <si>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</si>
  <si>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</si>
  <si>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</si>
  <si>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</si>
  <si>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</si>
  <si>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</si>
  <si>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</si>
  <si>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</si>
  <si>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</si>
  <si>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</si>
  <si>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</si>
  <si>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</si>
  <si>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</si>
  <si>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</si>
  <si>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</si>
  <si>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</si>
  <si>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</si>
  <si>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</si>
  <si>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</si>
  <si>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</si>
  <si>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</si>
  <si>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</si>
  <si>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</si>
  <si>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</si>
  <si>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</si>
  <si>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</si>
  <si>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</si>
  <si>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</si>
  <si>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</si>
  <si>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</si>
  <si>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</si>
  <si>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</si>
  <si>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</si>
  <si>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</si>
  <si>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</si>
  <si>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</si>
  <si>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</si>
  <si>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</si>
  <si>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</si>
  <si>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</si>
  <si>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</si>
  <si>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</si>
  <si>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</si>
  <si>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</si>
  <si>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</si>
  <si>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</si>
  <si>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</si>
  <si>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</si>
  <si>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</si>
  <si>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</si>
  <si>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</si>
  <si>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</si>
  <si>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</si>
  <si>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</si>
  <si>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</si>
  <si>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</si>
  <si>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</si>
  <si>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</si>
  <si>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</si>
  <si>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</si>
  <si>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</si>
  <si>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</si>
  <si>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</si>
  <si>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</si>
  <si>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</si>
  <si>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</si>
  <si>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</si>
  <si>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</si>
  <si>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</si>
  <si>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</si>
  <si>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</si>
  <si>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</si>
  <si>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</si>
  <si>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</si>
  <si>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</si>
  <si>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</si>
  <si>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</si>
  <si>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</si>
  <si>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</si>
  <si>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</si>
  <si>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</si>
  <si>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</si>
  <si>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</si>
  <si>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</si>
  <si>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</si>
  <si>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</si>
  <si>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</si>
  <si>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</si>
  <si>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</si>
  <si>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</si>
  <si>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</si>
  <si>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</si>
  <si>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</si>
  <si>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</si>
  <si>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</si>
  <si>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</si>
  <si>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</si>
  <si>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</si>
  <si>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</si>
  <si>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</si>
  <si>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</si>
  <si>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</si>
  <si>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</si>
  <si>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</si>
  <si>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</si>
  <si>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</si>
  <si>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</si>
  <si>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</si>
  <si>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</si>
  <si>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</si>
  <si>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</si>
  <si>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</si>
  <si>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</si>
  <si>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</si>
  <si>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</si>
  <si>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</si>
  <si>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</si>
  <si>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</si>
  <si>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</si>
  <si>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</si>
  <si>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</si>
  <si>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</si>
  <si>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</si>
  <si>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</si>
  <si>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</si>
  <si>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</si>
  <si>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</si>
  <si>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</si>
  <si>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</si>
  <si>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</si>
  <si>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</si>
  <si>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</si>
  <si>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</si>
  <si>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</si>
  <si>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</si>
  <si>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</si>
  <si>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</si>
  <si>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</si>
  <si>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</si>
  <si>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</si>
  <si>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</si>
  <si>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</si>
  <si>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</si>
  <si>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</si>
  <si>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</si>
  <si>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</si>
  <si>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</si>
  <si>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</si>
  <si>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</si>
  <si>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</si>
  <si>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</si>
  <si>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</si>
  <si>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</si>
  <si>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</si>
  <si>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</si>
  <si>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</si>
  <si>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</si>
  <si>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</si>
  <si>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</si>
  <si>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</si>
  <si>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</si>
  <si>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</si>
  <si>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</si>
  <si>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</si>
  <si>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</si>
  <si>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</si>
  <si>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</si>
  <si>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</si>
  <si>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</si>
  <si>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</si>
  <si>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</si>
  <si>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</si>
  <si>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</si>
  <si>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</si>
  <si>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</si>
  <si>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</si>
  <si>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</si>
  <si>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</si>
  <si>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</si>
  <si>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</si>
  <si>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</si>
  <si>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</si>
  <si>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</si>
  <si>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</si>
  <si>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</si>
  <si>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</si>
  <si>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</si>
  <si>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</si>
  <si>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</si>
  <si>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</si>
  <si>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</si>
  <si>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</si>
  <si>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</si>
  <si>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</si>
  <si>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</si>
  <si>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</si>
  <si>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</si>
  <si>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</si>
  <si>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</si>
  <si>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</si>
  <si>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</si>
  <si>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</si>
  <si>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</si>
  <si>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</si>
  <si>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</si>
  <si>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</si>
  <si>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</si>
  <si>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</si>
  <si>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</si>
  <si>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</si>
  <si>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</si>
  <si>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</si>
  <si>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</si>
  <si>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</si>
  <si>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</si>
  <si>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</si>
  <si>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</si>
  <si>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</si>
  <si>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</si>
  <si>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</si>
  <si>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</si>
  <si>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</si>
  <si>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</si>
  <si>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</si>
  <si>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</si>
  <si>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</si>
  <si>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</si>
  <si>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</si>
  <si>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</si>
  <si>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</si>
  <si>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</si>
  <si>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</si>
  <si>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</si>
  <si>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</si>
  <si>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</si>
  <si>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</si>
  <si>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</si>
  <si>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</si>
  <si>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</si>
  <si>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</si>
  <si>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</si>
  <si>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</si>
  <si>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</si>
  <si>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</si>
  <si>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</si>
  <si>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</si>
  <si>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</si>
  <si>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</si>
  <si>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</si>
  <si>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</si>
  <si>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</si>
  <si>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</si>
  <si>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</si>
  <si>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</si>
  <si>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</si>
  <si>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</si>
  <si>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</si>
  <si>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</si>
  <si>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</si>
  <si>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</si>
  <si>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</si>
  <si>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</si>
  <si>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</si>
  <si>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</si>
  <si>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</si>
  <si>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</si>
  <si>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</si>
  <si>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</si>
  <si>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</si>
  <si>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</si>
  <si>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</si>
  <si>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</si>
  <si>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</si>
  <si>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</si>
  <si>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</si>
  <si>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</si>
  <si>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</si>
  <si>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</si>
  <si>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</si>
  <si>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</si>
  <si>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</si>
  <si>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</si>
  <si>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</si>
  <si>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</si>
  <si>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</si>
  <si>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</si>
  <si>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</si>
  <si>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</si>
  <si>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</si>
  <si>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</si>
  <si>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</si>
  <si>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</si>
  <si>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</si>
  <si>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</si>
  <si>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</si>
  <si>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</si>
  <si>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</si>
  <si>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</si>
  <si>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</si>
  <si>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</si>
  <si>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</si>
  <si>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</si>
  <si>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</si>
  <si>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</si>
  <si>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</si>
  <si>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</si>
  <si>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</si>
  <si>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</si>
  <si>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</si>
  <si>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</si>
  <si>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</si>
  <si>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</si>
  <si>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</si>
  <si>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</si>
  <si>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</si>
  <si>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</si>
  <si>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</si>
  <si>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</si>
  <si>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</si>
  <si>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</si>
  <si>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</si>
  <si>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</si>
  <si>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</si>
  <si>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</si>
  <si>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</si>
  <si>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</si>
  <si>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</si>
  <si>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</si>
  <si>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</si>
  <si>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</si>
  <si>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</si>
  <si>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</si>
  <si>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</si>
  <si>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</si>
  <si>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</si>
  <si>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</si>
  <si>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</si>
  <si>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</si>
  <si>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</si>
  <si>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</si>
  <si>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</si>
  <si>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</si>
  <si>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</si>
  <si>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</si>
  <si>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</si>
  <si>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</si>
  <si>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</si>
  <si>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</si>
  <si>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</si>
  <si>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</si>
  <si>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</si>
  <si>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</si>
  <si>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</si>
  <si>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</si>
  <si>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</si>
  <si>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</si>
  <si>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</si>
  <si>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</si>
  <si>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</si>
  <si>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</si>
  <si>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</si>
  <si>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</si>
  <si>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</si>
  <si>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</si>
  <si>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</si>
  <si>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</si>
  <si>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</si>
  <si>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</si>
  <si>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</si>
  <si>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</si>
  <si>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</si>
  <si>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</si>
  <si>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</si>
  <si>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</si>
  <si>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</si>
  <si>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</si>
  <si>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</si>
  <si>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</si>
  <si>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</si>
  <si>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</si>
  <si>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</si>
  <si>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</si>
  <si>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</si>
  <si>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</si>
  <si>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</si>
  <si>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</si>
  <si>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</si>
  <si>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</si>
  <si>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</si>
  <si>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</si>
  <si>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</si>
  <si>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</si>
  <si>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</si>
  <si>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</si>
  <si>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</si>
  <si>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</si>
  <si>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</si>
  <si>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</si>
  <si>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</si>
  <si>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</si>
  <si>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</si>
  <si>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</si>
  <si>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</si>
  <si>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</si>
  <si>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</si>
  <si>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</si>
  <si>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</si>
  <si>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</si>
  <si>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</si>
  <si>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</si>
  <si>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</si>
  <si>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</si>
  <si>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</si>
  <si>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</si>
  <si>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</si>
  <si>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</si>
  <si>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</si>
  <si>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</si>
  <si>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</si>
  <si>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</si>
  <si>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</si>
  <si>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</si>
  <si>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</si>
  <si>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</si>
  <si>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</si>
  <si>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</si>
  <si>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</si>
  <si>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</si>
  <si>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</si>
  <si>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</si>
  <si>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</si>
  <si>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</si>
  <si>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</si>
  <si>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</si>
  <si>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</si>
  <si>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</si>
  <si>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</si>
  <si>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</si>
  <si>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</si>
  <si>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</si>
  <si>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</si>
  <si>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</si>
  <si>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</si>
  <si>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</si>
  <si>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</si>
  <si>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</si>
  <si>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</si>
  <si>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</si>
  <si>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</si>
  <si>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</si>
  <si>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</si>
  <si>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</si>
  <si>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</si>
  <si>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</si>
  <si>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</si>
  <si>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</si>
  <si>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</si>
  <si>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</si>
  <si>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</si>
  <si>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</si>
  <si>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</si>
  <si>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</si>
  <si>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</si>
  <si>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</si>
  <si>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</si>
  <si>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</si>
  <si>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</si>
  <si>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</si>
  <si>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</si>
  <si>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</si>
  <si>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</si>
  <si>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</si>
  <si>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</si>
  <si>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</si>
  <si>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</si>
  <si>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</si>
  <si>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</si>
  <si>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</si>
  <si>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</si>
  <si>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</si>
  <si>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</si>
  <si>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</si>
  <si>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</si>
  <si>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</si>
  <si>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</si>
  <si>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</si>
  <si>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</si>
  <si>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</si>
  <si>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</si>
  <si>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</si>
  <si>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</si>
  <si>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</si>
  <si>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</si>
  <si>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</si>
  <si>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</si>
  <si>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</si>
  <si>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</si>
  <si>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</si>
  <si>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</si>
  <si>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</si>
  <si>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</si>
  <si>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</si>
  <si>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</si>
  <si>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</si>
  <si>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</si>
  <si>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</si>
  <si>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</si>
  <si>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</si>
  <si>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</si>
  <si>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</si>
  <si>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</si>
  <si>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</si>
  <si>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</si>
  <si>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</si>
  <si>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</si>
  <si>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</si>
  <si>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</si>
  <si>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</si>
  <si>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</si>
  <si>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</si>
  <si>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</si>
  <si>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</si>
  <si>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</si>
  <si>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</si>
  <si>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</si>
  <si>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</si>
  <si>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</si>
  <si>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</si>
  <si>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</si>
  <si>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</si>
  <si>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</si>
  <si>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</si>
  <si>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</si>
  <si>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</si>
  <si>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</si>
  <si>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</si>
  <si>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</si>
  <si>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</si>
  <si>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</si>
  <si>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</si>
  <si>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</si>
  <si>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</si>
  <si>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</si>
  <si>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</si>
  <si>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</si>
  <si>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</si>
  <si>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</si>
  <si>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</si>
  <si>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</si>
  <si>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</si>
  <si>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</si>
  <si>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</si>
  <si>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</si>
  <si>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</si>
  <si>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</si>
  <si>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</si>
  <si>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</si>
  <si>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</si>
  <si>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</si>
  <si>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</si>
  <si>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</si>
  <si>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</si>
  <si>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</si>
  <si>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</si>
  <si>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</si>
  <si>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</si>
  <si>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</si>
  <si>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</si>
  <si>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</si>
  <si>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</si>
  <si>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</si>
  <si>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</si>
  <si>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</si>
  <si>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</si>
  <si>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</si>
  <si>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</si>
  <si>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</si>
  <si>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</si>
  <si>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</si>
  <si>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</si>
  <si>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</si>
  <si>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</si>
  <si>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</si>
  <si>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</si>
  <si>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</si>
  <si>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</si>
  <si>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</si>
  <si>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</si>
  <si>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</si>
  <si>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</si>
  <si>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</si>
  <si>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</si>
  <si>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</si>
  <si>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</si>
  <si>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</si>
  <si>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</si>
  <si>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</si>
  <si>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</si>
  <si>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</si>
  <si>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</si>
  <si>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</si>
  <si>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</si>
  <si>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</si>
  <si>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</si>
  <si>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</si>
  <si>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</si>
  <si>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</si>
  <si>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</si>
  <si>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</si>
  <si>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</si>
  <si>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</si>
  <si>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</si>
  <si>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</si>
  <si>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</si>
  <si>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</si>
  <si>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</si>
  <si>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</si>
  <si>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</si>
  <si>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</si>
  <si>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</si>
  <si>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</si>
  <si>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</si>
  <si>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</si>
  <si>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</si>
  <si>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</si>
  <si>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</si>
  <si>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</si>
  <si>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</si>
  <si>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</si>
  <si>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</si>
  <si>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</si>
  <si>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</si>
  <si>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</si>
  <si>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</si>
  <si>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</si>
  <si>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</si>
  <si>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</si>
  <si>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</si>
  <si>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</si>
  <si>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</si>
  <si>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</si>
  <si>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</si>
  <si>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</si>
  <si>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</si>
  <si>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</si>
  <si>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</si>
  <si>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</si>
  <si>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</si>
  <si>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</si>
  <si>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</si>
  <si>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</si>
  <si>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</si>
  <si>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</si>
  <si>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</si>
  <si>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</si>
  <si>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</si>
  <si>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</si>
  <si>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</si>
  <si>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</si>
  <si>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</si>
  <si>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</si>
  <si>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</si>
  <si>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</si>
  <si>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</si>
  <si>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</si>
  <si>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</si>
  <si>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</si>
  <si>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</si>
  <si>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</si>
  <si>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</si>
  <si>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</si>
  <si>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</si>
  <si>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</si>
  <si>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</si>
  <si>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</si>
  <si>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</si>
  <si>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</si>
  <si>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</si>
  <si>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</si>
  <si>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</si>
  <si>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</si>
  <si>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</si>
  <si>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</si>
  <si>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</si>
  <si>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</si>
  <si>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</si>
  <si>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</si>
  <si>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</si>
  <si>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</si>
  <si>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</si>
  <si>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</si>
  <si>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</si>
  <si>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</si>
  <si>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</si>
  <si>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</si>
  <si>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</si>
  <si>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</si>
  <si>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</si>
  <si>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</si>
  <si>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</si>
  <si>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</si>
  <si>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</si>
  <si>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</si>
  <si>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</si>
  <si>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</si>
  <si>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</si>
  <si>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</si>
  <si>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</si>
  <si>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</si>
  <si>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</si>
  <si>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</si>
  <si>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</si>
  <si>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</si>
  <si>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</si>
  <si>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</si>
  <si>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</si>
  <si>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</si>
  <si>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</si>
  <si>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</si>
  <si>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</si>
  <si>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</si>
  <si>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</si>
  <si>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</si>
  <si>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</si>
  <si>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</si>
  <si>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</si>
  <si>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</si>
  <si>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</si>
  <si>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</si>
  <si>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</si>
  <si>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</si>
  <si>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</si>
  <si>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</si>
  <si>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</si>
  <si>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</si>
  <si>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</si>
  <si>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</si>
  <si>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</si>
  <si>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</si>
  <si>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</si>
  <si>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</si>
  <si>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</si>
  <si>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</si>
  <si>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</si>
  <si>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</si>
  <si>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</si>
  <si>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</si>
  <si>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</si>
  <si>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</si>
  <si>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</si>
  <si>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</si>
  <si>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</si>
  <si>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</si>
  <si>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</si>
  <si>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</si>
  <si>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</si>
  <si>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</si>
  <si>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</si>
  <si>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</si>
  <si>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</si>
  <si>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</si>
  <si>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</si>
  <si>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</si>
  <si>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</si>
  <si>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</si>
  <si>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</si>
  <si>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</si>
  <si>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</si>
  <si>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</si>
  <si>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</si>
  <si>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</si>
  <si>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</si>
  <si>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</si>
  <si>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</si>
  <si>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</si>
  <si>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</si>
  <si>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</si>
  <si>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</si>
  <si>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</si>
  <si>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</si>
  <si>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</si>
  <si>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</si>
  <si>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</si>
  <si>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</si>
  <si>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</si>
  <si>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</si>
  <si>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</si>
  <si>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</si>
  <si>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</si>
  <si>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</si>
  <si>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</si>
  <si>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</si>
  <si>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</si>
  <si>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</si>
  <si>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</si>
  <si>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</si>
  <si>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</si>
  <si>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</si>
  <si>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</si>
  <si>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</si>
  <si>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</si>
  <si>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</si>
  <si>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</si>
  <si>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</si>
  <si>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</si>
  <si>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</si>
  <si>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</si>
  <si>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</si>
  <si>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</si>
  <si>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</si>
  <si>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</si>
  <si>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</si>
  <si>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</si>
  <si>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</si>
  <si>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</si>
  <si>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</si>
  <si>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</si>
  <si>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</si>
  <si>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</si>
  <si>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</si>
  <si>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</si>
  <si>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</si>
  <si>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</si>
  <si>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</si>
  <si>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</si>
  <si>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</si>
  <si>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</si>
  <si>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</si>
  <si>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</si>
  <si>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</si>
  <si>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</si>
  <si>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</si>
  <si>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</si>
  <si>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</si>
  <si>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</si>
  <si>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</si>
  <si>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</si>
  <si>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</si>
  <si>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</si>
  <si>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</si>
  <si>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</si>
  <si>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</si>
  <si>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</si>
  <si>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</si>
  <si>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</si>
  <si>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</si>
  <si>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</si>
  <si>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</si>
  <si>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</si>
  <si>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</si>
  <si>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</si>
  <si>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</si>
  <si>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</si>
  <si>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</si>
  <si>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</si>
  <si>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</si>
  <si>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</si>
  <si>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</si>
  <si>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</si>
  <si>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</si>
  <si>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</si>
  <si>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</si>
  <si>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</si>
  <si>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</si>
  <si>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</si>
  <si>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</si>
  <si>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</si>
  <si>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</si>
  <si>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</si>
  <si>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</si>
  <si>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</si>
  <si>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</si>
  <si>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</si>
  <si>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</si>
  <si>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</si>
  <si>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</si>
  <si>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</si>
  <si>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</si>
  <si>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</si>
  <si>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</si>
  <si>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</si>
  <si>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</si>
  <si>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</si>
  <si>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</si>
  <si>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</si>
  <si>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</si>
  <si>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</si>
  <si>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</si>
  <si>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</si>
  <si>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</si>
  <si>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</si>
  <si>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</si>
  <si>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</si>
  <si>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</si>
  <si>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</si>
  <si>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</si>
  <si>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</si>
  <si>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</si>
  <si>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</si>
  <si>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</si>
  <si>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</si>
  <si>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</si>
  <si>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</si>
  <si>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</si>
  <si>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</si>
  <si>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</si>
  <si>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</si>
  <si>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</si>
  <si>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</si>
  <si>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</si>
  <si>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</si>
  <si>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</si>
  <si>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</si>
  <si>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</si>
  <si>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</si>
  <si>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</si>
  <si>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</si>
  <si>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</si>
  <si>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</si>
  <si>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</si>
  <si>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</si>
  <si>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</si>
  <si>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</si>
  <si>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</si>
  <si>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</si>
  <si>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</si>
  <si>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</si>
  <si>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</si>
  <si>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</si>
  <si>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</si>
  <si>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</si>
  <si>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</si>
  <si>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</si>
  <si>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</si>
  <si>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</si>
  <si>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</si>
  <si>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</si>
  <si>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</si>
  <si>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</si>
  <si>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</si>
  <si>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</si>
  <si>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</si>
  <si>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</si>
  <si>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</si>
  <si>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</si>
  <si>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</si>
  <si>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</si>
  <si>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</si>
  <si>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</si>
  <si>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</si>
  <si>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</si>
  <si>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</si>
  <si>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</si>
  <si>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</si>
  <si>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</si>
  <si>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</si>
  <si>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</si>
  <si>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</si>
  <si>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</si>
  <si>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</si>
  <si>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</si>
  <si>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</si>
  <si>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</si>
  <si>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</si>
  <si>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</si>
  <si>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</si>
  <si>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</si>
  <si>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</si>
  <si>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</si>
  <si>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</si>
  <si>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</si>
  <si>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</si>
  <si>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</si>
  <si>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</si>
  <si>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</si>
  <si>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</si>
  <si>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</si>
  <si>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</si>
  <si>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</si>
  <si>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</si>
  <si>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</si>
  <si>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</si>
  <si>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</si>
  <si>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</si>
  <si>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</si>
  <si>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</si>
  <si>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</si>
  <si>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</si>
  <si>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</si>
  <si>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</si>
  <si>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</si>
  <si>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</si>
  <si>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</si>
  <si>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</si>
  <si>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</si>
  <si>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</si>
  <si>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</si>
  <si>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</si>
  <si>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</si>
  <si>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</si>
  <si>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</si>
  <si>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</si>
  <si>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</si>
  <si>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</si>
  <si>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</si>
  <si>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</si>
  <si>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</si>
  <si>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</si>
  <si>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</si>
  <si>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</si>
  <si>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</si>
  <si>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</si>
  <si>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</si>
  <si>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</si>
  <si>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</si>
  <si>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</si>
  <si>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</si>
  <si>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</si>
  <si>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</si>
  <si>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</si>
  <si>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</si>
  <si>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</si>
  <si>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</si>
  <si>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</si>
  <si>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</si>
  <si>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</si>
  <si>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</si>
  <si>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</si>
  <si>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</si>
  <si>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</si>
  <si>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</si>
  <si>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</si>
  <si>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</si>
  <si>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</si>
  <si>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</si>
  <si>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</si>
  <si>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</si>
  <si>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</si>
  <si>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</si>
  <si>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</si>
  <si>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</si>
  <si>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</si>
  <si>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</si>
  <si>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</si>
  <si>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</si>
  <si>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</si>
  <si>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</si>
  <si>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</si>
  <si>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</si>
  <si>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</si>
  <si>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</si>
  <si>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</si>
  <si>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</si>
  <si>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</si>
  <si>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</si>
  <si>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</si>
  <si>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</si>
  <si>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</si>
  <si>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</si>
  <si>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</si>
  <si>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</si>
  <si>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</si>
  <si>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</si>
  <si>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</si>
  <si>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</si>
  <si>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</si>
  <si>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</si>
  <si>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</si>
  <si>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</si>
  <si>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</si>
  <si>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</si>
  <si>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</si>
  <si>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</si>
  <si>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</si>
  <si>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</si>
  <si>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</si>
  <si>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</si>
  <si>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</si>
  <si>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</si>
  <si>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</si>
  <si>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</si>
  <si>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</si>
  <si>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</si>
  <si>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</si>
  <si>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</si>
  <si>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</si>
  <si>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</si>
  <si>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</si>
  <si>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</si>
  <si>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</si>
  <si>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</si>
  <si>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</si>
  <si>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</si>
  <si>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</si>
  <si>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</si>
  <si>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</si>
  <si>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</si>
  <si>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</si>
  <si>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</si>
  <si>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</si>
  <si>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</si>
  <si>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</si>
  <si>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</si>
  <si>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</si>
  <si>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</si>
  <si>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</si>
  <si>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</si>
  <si>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</si>
  <si>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</si>
  <si>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</si>
  <si>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</si>
  <si>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</si>
  <si>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</si>
  <si>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</si>
  <si>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</si>
  <si>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</si>
  <si>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</si>
  <si>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</si>
  <si>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</si>
  <si>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</si>
  <si>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</si>
  <si>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</si>
  <si>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</si>
  <si>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</si>
  <si>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</si>
  <si>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</si>
  <si>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</si>
  <si>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</si>
  <si>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</si>
  <si>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</si>
  <si>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</si>
  <si>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</si>
  <si>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</si>
  <si>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</si>
  <si>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</si>
  <si>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</si>
  <si>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</si>
  <si>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</si>
  <si>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</si>
  <si>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</si>
  <si>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</si>
  <si>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</si>
  <si>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</si>
  <si>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</si>
  <si>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</si>
  <si>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</si>
  <si>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</si>
  <si>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</si>
  <si>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</si>
  <si>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</si>
  <si>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</si>
  <si>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</si>
  <si>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</si>
  <si>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</si>
  <si>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</si>
  <si>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</si>
  <si>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</si>
  <si>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</si>
  <si>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</si>
  <si>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</si>
  <si>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</si>
  <si>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</si>
  <si>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</si>
  <si>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</si>
  <si>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</si>
  <si>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</si>
  <si>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</si>
  <si>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</si>
  <si>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</si>
  <si>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</si>
  <si>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</si>
  <si>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</si>
  <si>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</si>
  <si>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</si>
  <si>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</si>
  <si>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</si>
  <si>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</si>
  <si>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</si>
  <si>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</si>
  <si>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</si>
  <si>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</si>
  <si>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</si>
  <si>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</si>
  <si>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</si>
  <si>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</si>
  <si>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</si>
  <si>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</si>
  <si>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</si>
  <si>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</si>
  <si>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</si>
  <si>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</si>
  <si>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</si>
  <si>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</si>
  <si>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</si>
  <si>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</si>
  <si>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</si>
  <si>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</si>
  <si>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</si>
  <si>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</si>
  <si>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</si>
  <si>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</si>
  <si>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</si>
  <si>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</si>
  <si>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</si>
  <si>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</si>
  <si>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</si>
  <si>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</si>
  <si>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</si>
  <si>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</si>
  <si>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</si>
  <si>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</si>
  <si>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</si>
  <si>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</si>
  <si>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</si>
  <si>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</si>
  <si>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</si>
  <si>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</si>
  <si>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</si>
  <si>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</si>
  <si>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</si>
  <si>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</si>
  <si>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</si>
  <si>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</si>
  <si>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</si>
  <si>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</si>
  <si>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</si>
  <si>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</si>
  <si>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</si>
  <si>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</si>
  <si>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</si>
  <si>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</si>
  <si>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</si>
  <si>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</si>
  <si>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</si>
  <si>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</si>
  <si>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</si>
  <si>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</si>
  <si>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</si>
  <si>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</si>
  <si>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</si>
  <si>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</si>
  <si>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</si>
  <si>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</si>
  <si>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</si>
  <si>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</si>
  <si>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</si>
  <si>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</si>
  <si>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</si>
  <si>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</si>
  <si>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</si>
  <si>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</si>
  <si>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</si>
  <si>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</si>
  <si>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</si>
  <si>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</si>
  <si>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</si>
  <si>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</si>
  <si>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</si>
  <si>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</si>
  <si>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</si>
  <si>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</si>
  <si>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</si>
  <si>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</si>
  <si>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</si>
  <si>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</si>
  <si>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</si>
  <si>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</si>
  <si>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</si>
  <si>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</si>
  <si>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</si>
  <si>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</si>
  <si>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</si>
  <si>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</si>
  <si>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</si>
  <si>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</si>
  <si>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</si>
  <si>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</si>
  <si>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</si>
  <si>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</si>
  <si>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</si>
  <si>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</si>
  <si>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</si>
  <si>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</si>
  <si>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</si>
  <si>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</si>
  <si>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</si>
  <si>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</si>
  <si>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</si>
  <si>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</si>
  <si>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</si>
  <si>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</si>
  <si>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</si>
  <si>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</si>
  <si>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</si>
  <si>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</si>
  <si>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</si>
  <si>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</si>
  <si>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</si>
  <si>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</si>
  <si>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</si>
  <si>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</si>
  <si>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</si>
  <si>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</si>
  <si>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</si>
  <si>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</si>
  <si>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</si>
  <si>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</si>
  <si>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</si>
  <si>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</si>
  <si>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</si>
  <si>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</si>
  <si>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</si>
  <si>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</si>
  <si>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</si>
  <si>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</si>
  <si>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</si>
  <si>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</si>
  <si>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</si>
  <si>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</si>
  <si>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</si>
  <si>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</si>
  <si>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</si>
  <si>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</si>
  <si>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</si>
  <si>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</si>
  <si>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</si>
  <si>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</si>
  <si>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</si>
  <si>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</si>
  <si>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</si>
  <si>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</si>
  <si>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</si>
  <si>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</si>
  <si>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</si>
  <si>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</si>
  <si>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</si>
  <si>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</si>
  <si>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</si>
  <si>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</si>
  <si>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</si>
  <si>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</si>
  <si>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</si>
  <si>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</si>
  <si>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</si>
  <si>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</si>
  <si>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</si>
  <si>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</si>
  <si>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</si>
  <si>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</si>
  <si>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</si>
  <si>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</si>
  <si>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</si>
  <si>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</si>
  <si>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</si>
  <si>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</si>
  <si>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</si>
  <si>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</si>
  <si>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</si>
  <si>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</si>
  <si>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</si>
  <si>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</si>
  <si>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</si>
  <si>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</si>
  <si>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</si>
  <si>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</si>
  <si>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</si>
  <si>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</si>
  <si>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</si>
  <si>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</si>
  <si>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</si>
  <si>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</si>
  <si>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</si>
  <si>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</si>
  <si>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</si>
  <si>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</si>
  <si>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</si>
  <si>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</si>
  <si>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</si>
  <si>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</si>
  <si>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</si>
  <si>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</si>
  <si>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</si>
  <si>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</si>
  <si>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</si>
  <si>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</si>
  <si>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</si>
  <si>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</si>
  <si>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</si>
  <si>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</si>
  <si>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</si>
  <si>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</si>
  <si>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</si>
  <si>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</si>
  <si>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</si>
  <si>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</si>
  <si>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</si>
  <si>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</si>
  <si>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</si>
  <si>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</si>
  <si>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</si>
  <si>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</si>
  <si>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</si>
  <si>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</si>
  <si>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</si>
  <si>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</si>
  <si>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</si>
  <si>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</si>
  <si>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</si>
  <si>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</si>
  <si>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</si>
  <si>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</si>
  <si>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</si>
  <si>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</si>
  <si>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</si>
  <si>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</si>
  <si>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</si>
  <si>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</si>
  <si>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</si>
  <si>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</si>
  <si>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</si>
  <si>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</si>
  <si>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</si>
  <si>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</si>
  <si>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</si>
  <si>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</si>
  <si>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</si>
  <si>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</si>
  <si>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</si>
  <si>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</si>
  <si>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</si>
  <si>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</si>
  <si>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</si>
  <si>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</si>
  <si>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</si>
  <si>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</si>
  <si>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</si>
  <si>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</si>
  <si>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</si>
  <si>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</si>
  <si>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</si>
  <si>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</si>
  <si>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</si>
  <si>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</si>
  <si>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</si>
  <si>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</si>
  <si>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</si>
  <si>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</si>
  <si>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</si>
  <si>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</si>
  <si>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</si>
  <si>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</si>
  <si>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</si>
  <si>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</si>
  <si>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</si>
  <si>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</si>
  <si>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</si>
  <si>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</si>
  <si>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</si>
  <si>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</si>
  <si>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</si>
  <si>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</si>
  <si>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</si>
  <si>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</si>
  <si>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</si>
  <si>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</si>
  <si>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</si>
  <si>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</si>
  <si>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</si>
  <si>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</si>
  <si>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</si>
  <si>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</si>
  <si>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</si>
  <si>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</si>
  <si>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</si>
  <si>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</si>
  <si>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</si>
  <si>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</si>
  <si>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</si>
  <si>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</si>
  <si>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</si>
  <si>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</si>
  <si>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</si>
  <si>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</si>
  <si>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</si>
  <si>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</si>
  <si>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</si>
  <si>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</si>
  <si>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</si>
  <si>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</si>
  <si>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</si>
  <si>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</si>
  <si>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</si>
  <si>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</si>
  <si>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</si>
  <si>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</si>
  <si>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</si>
  <si>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</si>
  <si>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</si>
  <si>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</si>
  <si>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</si>
  <si>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</si>
  <si>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</si>
  <si>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</si>
  <si>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</si>
  <si>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</si>
  <si>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</si>
  <si>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</si>
  <si>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</si>
  <si>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</si>
  <si>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</si>
  <si>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</si>
  <si>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</si>
  <si>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</si>
  <si>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</si>
  <si>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</si>
  <si>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</si>
  <si>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</si>
  <si>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</si>
  <si>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</si>
  <si>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</si>
  <si>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</si>
  <si>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</si>
  <si>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</si>
  <si>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</si>
  <si>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</si>
  <si>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</si>
  <si>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</si>
  <si>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</si>
  <si>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</si>
  <si>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</si>
  <si>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</si>
  <si>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</si>
  <si>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</si>
  <si>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</si>
  <si>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</si>
  <si>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</si>
  <si>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</si>
  <si>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</si>
  <si>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</si>
  <si>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</si>
  <si>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</si>
  <si>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</si>
  <si>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</si>
  <si>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</si>
  <si>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</si>
  <si>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</si>
  <si>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</si>
  <si>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</si>
  <si>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</si>
  <si>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</si>
  <si>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</si>
  <si>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</si>
  <si>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</si>
  <si>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</si>
  <si>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</si>
  <si>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</si>
  <si>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</si>
  <si>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</si>
  <si>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</si>
  <si>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</si>
  <si>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</si>
  <si>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</si>
  <si>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</si>
  <si>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</si>
  <si>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</si>
  <si>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</si>
  <si>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</si>
  <si>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</si>
  <si>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</si>
  <si>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</si>
  <si>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</si>
  <si>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</si>
  <si>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</si>
  <si>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</si>
  <si>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</si>
  <si>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</si>
  <si>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</si>
  <si>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</si>
  <si>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</si>
  <si>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</si>
  <si>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</si>
  <si>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</si>
  <si>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</si>
  <si>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</si>
  <si>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</si>
  <si>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</si>
  <si>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</si>
  <si>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</si>
  <si>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</si>
  <si>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</si>
  <si>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</si>
  <si>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</si>
  <si>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</si>
  <si>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</si>
  <si>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</si>
  <si>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</si>
  <si>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</si>
  <si>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</si>
  <si>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</si>
  <si>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</si>
  <si>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</si>
  <si>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</si>
  <si>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</si>
  <si>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</si>
  <si>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</si>
  <si>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</si>
  <si>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</si>
  <si>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</si>
  <si>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</si>
  <si>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</si>
  <si>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</si>
  <si>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</si>
  <si>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</si>
  <si>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</si>
  <si>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</si>
  <si>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</si>
  <si>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</si>
  <si>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</si>
  <si>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</si>
  <si>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</si>
  <si>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</si>
  <si>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</si>
  <si>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</si>
  <si>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</si>
  <si>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</si>
  <si>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</si>
  <si>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</si>
  <si>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</si>
  <si>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</si>
  <si>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</si>
  <si>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</si>
  <si>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</si>
  <si>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</si>
  <si>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</si>
  <si>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</si>
  <si>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</si>
  <si>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</si>
  <si>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</si>
  <si>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</si>
  <si>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</si>
  <si>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</si>
  <si>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</si>
  <si>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</si>
  <si>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</si>
  <si>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</si>
  <si>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</si>
  <si>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</si>
  <si>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</si>
  <si>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</si>
  <si>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</si>
  <si>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</si>
  <si>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</si>
  <si>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</si>
  <si>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</si>
  <si>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</si>
  <si>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</si>
  <si>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</si>
  <si>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</si>
  <si>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</si>
  <si>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</si>
  <si>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</si>
  <si>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</si>
  <si>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</si>
  <si>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</si>
  <si>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</si>
  <si>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</si>
  <si>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</si>
  <si>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</si>
  <si>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</si>
  <si>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</si>
  <si>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</si>
  <si>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</si>
  <si>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</si>
  <si>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</si>
  <si>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</si>
  <si>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</si>
  <si>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</si>
  <si>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</si>
  <si>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</si>
  <si>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</si>
  <si>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</si>
  <si>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</si>
  <si>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</si>
  <si>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</si>
  <si>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</si>
  <si>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</si>
  <si>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</si>
  <si>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</si>
  <si>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</si>
  <si>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</si>
  <si>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</si>
  <si>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</si>
  <si>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</si>
  <si>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</si>
  <si>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</si>
  <si>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</si>
  <si>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</si>
  <si>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</si>
  <si>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</si>
  <si>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</si>
  <si>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</si>
  <si>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</si>
  <si>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</si>
  <si>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</si>
  <si>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</si>
  <si>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</si>
  <si>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</si>
  <si>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</si>
  <si>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</si>
  <si>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</si>
  <si>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</si>
  <si>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</si>
  <si>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</si>
  <si>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</si>
  <si>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</si>
  <si>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</si>
  <si>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</si>
  <si>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</si>
  <si>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</si>
  <si>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</si>
  <si>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</si>
  <si>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</si>
  <si>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</si>
  <si>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</si>
  <si>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</si>
  <si>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</si>
  <si>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</si>
  <si>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</si>
  <si>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</si>
  <si>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</si>
  <si>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</si>
  <si>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</si>
  <si>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</si>
  <si>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</si>
  <si>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</si>
  <si>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</si>
  <si>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</si>
  <si>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</si>
  <si>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</si>
  <si>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</si>
  <si>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</si>
  <si>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</si>
  <si>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</si>
  <si>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</si>
  <si>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</si>
  <si>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</si>
  <si>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</si>
  <si>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</si>
  <si>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</si>
  <si>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</si>
  <si>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</si>
  <si>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</si>
  <si>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</si>
  <si>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</si>
  <si>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</si>
  <si>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</si>
  <si>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</si>
  <si>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</si>
  <si>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</si>
  <si>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</si>
  <si>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</si>
  <si>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</si>
  <si>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</si>
  <si>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</si>
  <si>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</si>
  <si>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</si>
  <si>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</si>
  <si>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</si>
  <si>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</si>
  <si>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</si>
  <si>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</si>
  <si>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</si>
  <si>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</si>
  <si>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</si>
  <si>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</si>
  <si>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</si>
  <si>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</si>
  <si>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</si>
  <si>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</si>
  <si>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</si>
  <si>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</si>
  <si>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</si>
  <si>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</si>
  <si>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</si>
  <si>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</si>
  <si>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</si>
  <si>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</si>
  <si>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</si>
  <si>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</si>
  <si>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</si>
  <si>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</si>
  <si>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</si>
  <si>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</si>
  <si>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</si>
  <si>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</si>
  <si>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</si>
  <si>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</si>
  <si>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</si>
  <si>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</si>
  <si>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</si>
  <si>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</si>
  <si>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</si>
  <si>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</si>
  <si>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</si>
  <si>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</si>
  <si>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</si>
  <si>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</si>
  <si>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</si>
  <si>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</si>
  <si>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</si>
  <si>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</si>
  <si>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</si>
  <si>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</si>
  <si>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</si>
  <si>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</si>
  <si>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</si>
  <si>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</si>
  <si>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</si>
  <si>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</si>
  <si>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</si>
  <si>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</si>
  <si>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</si>
  <si>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</si>
  <si>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</si>
  <si>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</si>
  <si>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</si>
  <si>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</si>
  <si>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</si>
  <si>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</si>
  <si>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</si>
  <si>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</si>
  <si>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</si>
  <si>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</si>
  <si>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</si>
  <si>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</si>
  <si>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</si>
  <si>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</si>
  <si>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</si>
  <si>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</si>
  <si>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</si>
  <si>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</si>
  <si>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</si>
  <si>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</si>
  <si>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</si>
  <si>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</si>
  <si>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</si>
  <si>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</si>
  <si>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</si>
  <si>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</si>
  <si>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</si>
  <si>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</si>
  <si>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</si>
  <si>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</si>
  <si>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</si>
  <si>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</si>
  <si>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</si>
  <si>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</si>
  <si>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</si>
  <si>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</si>
  <si>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</si>
  <si>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</si>
  <si>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</si>
  <si>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</si>
  <si>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</si>
  <si>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</si>
  <si>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</si>
  <si>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</si>
  <si>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</si>
  <si>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</si>
  <si>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</si>
  <si>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</si>
  <si>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</si>
  <si>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</si>
  <si>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</si>
  <si>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</si>
  <si>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</si>
  <si>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</si>
  <si>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</si>
  <si>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</si>
  <si>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</si>
  <si>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</si>
  <si>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</si>
  <si>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</si>
  <si>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</si>
  <si>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</si>
  <si>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</si>
  <si>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</si>
  <si>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</si>
  <si>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</si>
  <si>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</si>
  <si>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</si>
  <si>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</si>
  <si>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</si>
  <si>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</si>
  <si>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</si>
  <si>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</si>
  <si>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</si>
  <si>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</si>
  <si>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</si>
  <si>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</si>
  <si>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</si>
  <si>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</si>
  <si>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</si>
  <si>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</si>
  <si>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</si>
  <si>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</si>
  <si>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</si>
  <si>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</si>
  <si>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</si>
  <si>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</si>
  <si>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</si>
  <si>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</si>
  <si>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</si>
  <si>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</si>
  <si>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</si>
  <si>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</si>
  <si>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</si>
  <si>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</si>
  <si>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</si>
  <si>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</si>
  <si>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</si>
  <si>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</si>
  <si>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</si>
  <si>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</si>
  <si>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</si>
  <si>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</si>
  <si>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</si>
  <si>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</si>
  <si>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</si>
  <si>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</si>
  <si>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</si>
  <si>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</si>
  <si>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</si>
  <si>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</si>
  <si>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</si>
  <si>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</si>
  <si>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</si>
  <si>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</si>
  <si>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</si>
  <si>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</si>
  <si>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</si>
  <si>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</si>
  <si>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</si>
  <si>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</si>
  <si>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</si>
  <si>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</si>
  <si>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</si>
  <si>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</si>
  <si>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</si>
  <si>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</si>
  <si>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</si>
  <si>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</si>
  <si>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</si>
  <si>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</si>
  <si>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</si>
  <si>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</si>
  <si>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</si>
  <si>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</si>
  <si>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</si>
  <si>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</si>
  <si>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</si>
  <si>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</si>
  <si>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</si>
  <si>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</si>
  <si>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</si>
  <si>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</si>
  <si>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</si>
  <si>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</si>
  <si>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</si>
  <si>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</si>
  <si>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</si>
  <si>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</si>
  <si>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</si>
  <si>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</si>
  <si>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</si>
  <si>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</si>
  <si>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</si>
  <si>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</si>
  <si>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</si>
  <si>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</si>
  <si>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</si>
  <si>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</si>
  <si>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</si>
  <si>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</si>
  <si>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</si>
  <si>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</si>
  <si>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</si>
  <si>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</si>
  <si>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</si>
  <si>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</si>
  <si>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</si>
  <si>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</si>
  <si>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</si>
  <si>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</si>
  <si>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</si>
  <si>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</si>
  <si>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</si>
  <si>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</si>
  <si>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</si>
  <si>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</si>
  <si>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</si>
  <si>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</si>
  <si>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</si>
  <si>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</si>
  <si>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</si>
  <si>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</si>
  <si>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</si>
  <si>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</si>
  <si>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</si>
  <si>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</si>
  <si>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</si>
  <si>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</si>
  <si>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</si>
  <si>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</si>
  <si>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</si>
  <si>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</si>
  <si>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</si>
  <si>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</si>
  <si>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</si>
  <si>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</si>
  <si>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</si>
  <si>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</si>
  <si>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</si>
  <si>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</si>
  <si>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</si>
  <si>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</si>
  <si>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</si>
  <si>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</si>
  <si>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</si>
  <si>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</si>
  <si>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</si>
  <si>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</si>
  <si>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</si>
  <si>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</si>
  <si>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</si>
  <si>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</si>
  <si>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</si>
  <si>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</si>
  <si>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</si>
  <si>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</si>
  <si>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</si>
  <si>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</si>
  <si>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</si>
  <si>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</si>
  <si>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</si>
  <si>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</si>
  <si>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</si>
  <si>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</si>
  <si>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</si>
  <si>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</si>
  <si>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</si>
  <si>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</si>
  <si>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</si>
  <si>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</si>
  <si>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</si>
  <si>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</si>
  <si>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</si>
  <si>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</si>
  <si>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</si>
  <si>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</si>
  <si>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</si>
  <si>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</si>
  <si>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</si>
  <si>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</si>
  <si>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</si>
  <si>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</si>
  <si>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</si>
  <si>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</si>
  <si>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</si>
  <si>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</si>
  <si>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</si>
  <si>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</si>
  <si>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</si>
  <si>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</si>
  <si>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</si>
  <si>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</si>
  <si>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</si>
  <si>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</si>
  <si>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</si>
  <si>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</si>
  <si>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</si>
  <si>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</si>
  <si>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</si>
  <si>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</si>
  <si>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</si>
  <si>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</si>
  <si>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</si>
  <si>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</si>
  <si>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</si>
  <si>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</si>
  <si>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</si>
  <si>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</si>
  <si>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</si>
  <si>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</si>
  <si>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</si>
  <si>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</si>
  <si>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</si>
  <si>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</si>
  <si>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</si>
  <si>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</si>
  <si>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</si>
  <si>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</si>
  <si>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</si>
  <si>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</si>
  <si>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</si>
  <si>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</si>
  <si>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</si>
  <si>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</si>
  <si>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</si>
  <si>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</si>
  <si>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</si>
  <si>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</si>
  <si>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</si>
  <si>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</si>
  <si>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</si>
  <si>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</si>
  <si>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</si>
  <si>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</si>
  <si>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</si>
  <si>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</si>
  <si>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</si>
  <si>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</si>
  <si>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</si>
  <si>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</si>
  <si>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</si>
  <si>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</si>
  <si>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</si>
  <si>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</si>
  <si>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</si>
  <si>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</si>
  <si>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</si>
  <si>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</si>
  <si>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</si>
  <si>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</si>
  <si>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</si>
  <si>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</si>
  <si>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</si>
  <si>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</si>
  <si>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</si>
  <si>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</si>
  <si>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</si>
  <si>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</si>
  <si>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</si>
  <si>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</si>
  <si>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</si>
  <si>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</si>
  <si>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</si>
  <si>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</si>
  <si>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</si>
  <si>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</si>
  <si>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</si>
  <si>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</si>
  <si>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</si>
  <si>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</si>
  <si>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</si>
  <si>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</si>
  <si>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</si>
  <si>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</si>
  <si>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</si>
  <si>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</si>
  <si>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</si>
  <si>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</si>
  <si>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</si>
  <si>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</si>
  <si>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</si>
  <si>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</si>
  <si>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</si>
  <si>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</si>
  <si>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</si>
  <si>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</si>
  <si>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</si>
  <si>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</si>
  <si>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</si>
  <si>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</si>
  <si>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</si>
  <si>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</si>
  <si>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</si>
  <si>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</si>
  <si>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</si>
  <si>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</si>
  <si>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</si>
  <si>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</si>
  <si>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</si>
  <si>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</si>
  <si>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</si>
  <si>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</si>
  <si>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</si>
  <si>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</si>
  <si>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</si>
  <si>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</si>
  <si>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</si>
  <si>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</si>
  <si>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</si>
  <si>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</si>
  <si>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</si>
  <si>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</si>
  <si>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</si>
  <si>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</si>
  <si>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</si>
  <si>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</si>
  <si>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</si>
  <si>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</si>
  <si>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</si>
  <si>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</si>
  <si>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</si>
  <si>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</si>
  <si>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</si>
  <si>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</si>
  <si>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</si>
  <si>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</si>
  <si>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</si>
  <si>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</si>
  <si>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</si>
  <si>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</si>
  <si>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</si>
  <si>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</si>
  <si>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</si>
  <si>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</si>
  <si>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</si>
  <si>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</si>
  <si>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</si>
  <si>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</si>
  <si>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</si>
  <si>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</si>
  <si>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</si>
  <si>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</si>
  <si>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</si>
  <si>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</si>
  <si>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</si>
  <si>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</si>
  <si>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</si>
  <si>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</si>
  <si>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</si>
  <si>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</si>
  <si>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</si>
  <si>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</si>
  <si>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</si>
  <si>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</si>
  <si>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</si>
  <si>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</si>
  <si>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</si>
  <si>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</si>
  <si>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</si>
  <si>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</si>
  <si>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</si>
  <si>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</si>
  <si>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</si>
  <si>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</si>
  <si>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</si>
  <si>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</si>
  <si>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</si>
  <si>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</si>
  <si>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</si>
  <si>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</si>
  <si>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</si>
  <si>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</si>
  <si>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</si>
  <si>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</si>
  <si>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</si>
  <si>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</si>
  <si>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</si>
  <si>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</si>
  <si>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</si>
  <si>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</si>
  <si>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</si>
  <si>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</si>
  <si>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</si>
  <si>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</si>
  <si>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</si>
  <si>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</si>
  <si>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</si>
  <si>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</si>
  <si>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</si>
  <si>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</si>
  <si>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</si>
  <si>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</si>
  <si>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</si>
  <si>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</si>
  <si>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</si>
  <si>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</si>
  <si>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</si>
  <si>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</si>
  <si>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</si>
  <si>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</si>
  <si>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</si>
  <si>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</si>
  <si>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</si>
  <si>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</si>
  <si>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</si>
  <si>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</si>
  <si>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</si>
  <si>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</si>
  <si>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</si>
  <si>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</si>
  <si>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</si>
  <si>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</si>
  <si>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</si>
  <si>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</si>
  <si>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</si>
  <si>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</si>
  <si>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</si>
  <si>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</si>
  <si>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</si>
  <si>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</si>
  <si>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</si>
  <si>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</si>
  <si>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</si>
  <si>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</si>
  <si>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</si>
  <si>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</si>
  <si>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</si>
  <si>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</si>
  <si>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</si>
  <si>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</si>
  <si>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</si>
  <si>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</si>
  <si>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</si>
  <si>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</si>
  <si>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</si>
  <si>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</si>
  <si>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</si>
  <si>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</si>
  <si>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</si>
  <si>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</si>
  <si>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</si>
  <si>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</si>
  <si>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</si>
  <si>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</si>
  <si>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</si>
  <si>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</si>
  <si>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</si>
  <si>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</si>
  <si>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</si>
  <si>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</si>
  <si>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</si>
  <si>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</si>
  <si>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</si>
  <si>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</si>
  <si>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</si>
  <si>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</si>
  <si>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</si>
  <si>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</si>
  <si>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</si>
  <si>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</si>
  <si>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</si>
  <si>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</si>
  <si>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</si>
  <si>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</si>
  <si>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</si>
  <si>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</si>
  <si>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</si>
  <si>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</si>
  <si>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</si>
  <si>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</si>
  <si>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</si>
  <si>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</si>
  <si>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</si>
  <si>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</si>
  <si>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</si>
  <si>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</si>
  <si>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</si>
  <si>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</si>
  <si>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</si>
  <si>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</si>
  <si>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</si>
  <si>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</si>
  <si>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</si>
  <si>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</si>
  <si>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</si>
  <si>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</si>
  <si>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</si>
  <si>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</si>
  <si>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</si>
  <si>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</si>
  <si>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</si>
  <si>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</si>
  <si>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</si>
  <si>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</si>
  <si>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</si>
  <si>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</si>
  <si>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</si>
  <si>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</si>
  <si>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</si>
  <si>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</si>
  <si>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</si>
  <si>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</si>
  <si>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</si>
  <si>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</si>
  <si>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</si>
  <si>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</si>
  <si>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</si>
  <si>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</si>
  <si>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</si>
  <si>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</si>
  <si>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</si>
  <si>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</si>
  <si>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</si>
  <si>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</si>
  <si>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</si>
  <si>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</si>
  <si>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</si>
  <si>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</si>
  <si>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</si>
  <si>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</si>
  <si>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</si>
  <si>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</si>
  <si>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</si>
  <si>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</si>
  <si>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</si>
  <si>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</si>
  <si>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</si>
  <si>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</si>
  <si>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</si>
  <si>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</si>
  <si>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</si>
  <si>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</si>
  <si>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</si>
  <si>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</si>
  <si>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</si>
  <si>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</si>
  <si>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</si>
  <si>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</si>
  <si>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</si>
  <si>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</si>
  <si>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</si>
  <si>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</si>
  <si>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</si>
  <si>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</si>
  <si>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</si>
  <si>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</si>
  <si>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</si>
  <si>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</si>
  <si>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</si>
  <si>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</si>
  <si>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</si>
  <si>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</si>
  <si>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</si>
  <si>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</si>
  <si>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</si>
  <si>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</si>
  <si>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</si>
  <si>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</si>
  <si>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</si>
  <si>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</si>
  <si>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</si>
  <si>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</si>
  <si>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</si>
  <si>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</si>
  <si>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</si>
  <si>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</si>
  <si>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</si>
  <si>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</si>
  <si>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</si>
  <si>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</si>
  <si>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</si>
  <si>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</si>
  <si>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</si>
  <si>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</si>
  <si>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</si>
  <si>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</si>
  <si>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</si>
  <si>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</si>
  <si>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</si>
  <si>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</si>
  <si>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</si>
  <si>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</si>
  <si>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</si>
  <si>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</si>
  <si>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</si>
  <si>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</si>
  <si>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</si>
  <si>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</si>
  <si>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</si>
  <si>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</si>
  <si>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</si>
  <si>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</si>
  <si>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</si>
  <si>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</si>
  <si>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</si>
  <si>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</si>
  <si>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</si>
  <si>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</si>
  <si>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</si>
  <si>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</si>
  <si>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</si>
  <si>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</si>
  <si>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</si>
  <si>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</si>
  <si>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</si>
  <si>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</si>
  <si>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</si>
  <si>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</si>
  <si>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</si>
  <si>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</si>
  <si>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</si>
  <si>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</si>
  <si>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</si>
  <si>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</si>
  <si>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</si>
  <si>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</si>
  <si>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</si>
  <si>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</si>
  <si>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</si>
  <si>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</si>
  <si>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</si>
  <si>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</si>
  <si>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</si>
  <si>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</si>
  <si>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</si>
  <si>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</si>
  <si>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</si>
  <si>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</si>
  <si>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</si>
  <si>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</si>
  <si>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</si>
  <si>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</si>
  <si>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</si>
  <si>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</si>
  <si>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</si>
  <si>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</si>
  <si>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</si>
  <si>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</si>
  <si>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</si>
  <si>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</si>
  <si>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</si>
  <si>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</si>
  <si>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</si>
  <si>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</si>
  <si>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</si>
  <si>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</si>
  <si>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</si>
  <si>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</si>
  <si>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</si>
  <si>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</si>
  <si>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</si>
  <si>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</si>
  <si>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</si>
  <si>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</si>
  <si>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</si>
  <si>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</si>
  <si>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</si>
  <si>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</si>
  <si>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</si>
  <si>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</si>
  <si>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</si>
  <si>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</si>
  <si>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</si>
  <si>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</si>
  <si>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</si>
  <si>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</si>
  <si>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</si>
  <si>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</si>
  <si>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</si>
  <si>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</si>
  <si>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</si>
  <si>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</si>
  <si>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</si>
  <si>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</si>
  <si>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</si>
  <si>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</si>
  <si>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</si>
  <si>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</si>
  <si>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</si>
  <si>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</si>
  <si>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</si>
  <si>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</si>
  <si>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</si>
  <si>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</si>
  <si>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</si>
  <si>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</si>
  <si>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</si>
  <si>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</si>
  <si>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</si>
  <si>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</si>
  <si>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</si>
  <si>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</si>
  <si>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</si>
  <si>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</si>
  <si>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</si>
  <si>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</si>
  <si>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</si>
  <si>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</si>
  <si>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</si>
  <si>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</si>
  <si>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</si>
  <si>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</si>
  <si>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</si>
  <si>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</si>
  <si>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</si>
  <si>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</si>
  <si>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</si>
  <si>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</si>
  <si>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</si>
  <si>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</si>
  <si>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</si>
  <si>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</si>
  <si>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</si>
  <si>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</si>
  <si>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</si>
  <si>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</si>
  <si>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</si>
  <si>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</si>
  <si>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</si>
  <si>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</si>
  <si>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</si>
  <si>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</si>
  <si>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</si>
  <si>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</si>
  <si>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</si>
  <si>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</si>
  <si>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</si>
  <si>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</si>
  <si>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</si>
  <si>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</si>
  <si>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</si>
  <si>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</si>
  <si>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</si>
  <si>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</si>
  <si>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</si>
  <si>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</si>
  <si>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</si>
  <si>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</si>
  <si>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</si>
  <si>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</si>
  <si>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</si>
  <si>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</si>
  <si>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</si>
  <si>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</si>
  <si>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</si>
  <si>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</si>
  <si>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</si>
  <si>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</si>
  <si>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</si>
  <si>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</si>
  <si>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</si>
  <si>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</si>
  <si>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</si>
  <si>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</si>
  <si>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</si>
  <si>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</si>
  <si>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</si>
  <si>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</si>
  <si>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</si>
  <si>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</si>
  <si>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</si>
  <si>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</si>
  <si>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</si>
  <si>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</si>
  <si>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</si>
  <si>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</si>
  <si>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</si>
  <si>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</si>
  <si>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</si>
  <si>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</si>
  <si>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</si>
  <si>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</si>
  <si>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</si>
  <si>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</si>
  <si>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</si>
  <si>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</si>
  <si>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</si>
  <si>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</si>
  <si>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</si>
  <si>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</si>
  <si>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</si>
  <si>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</si>
  <si>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</si>
  <si>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</si>
  <si>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</si>
  <si>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</si>
  <si>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</si>
  <si>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</si>
  <si>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</si>
  <si>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</si>
  <si>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</si>
  <si>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</si>
  <si>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</si>
  <si>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</si>
  <si>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</si>
  <si>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</si>
  <si>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</si>
  <si>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</si>
  <si>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</si>
  <si>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</si>
  <si>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</si>
  <si>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</si>
  <si>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</si>
  <si>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</si>
  <si>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</si>
  <si>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</si>
  <si>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</si>
  <si>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</si>
  <si>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</si>
  <si>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</si>
  <si>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</si>
  <si>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</si>
  <si>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</si>
  <si>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</si>
  <si>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</si>
  <si>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</si>
  <si>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</si>
  <si>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</si>
  <si>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</si>
  <si>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</si>
  <si>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</si>
  <si>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</si>
  <si>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</si>
  <si>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</si>
  <si>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</si>
  <si>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</si>
  <si>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</si>
  <si>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</si>
  <si>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</si>
  <si>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</si>
  <si>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</si>
  <si>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</si>
  <si>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</si>
  <si>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</si>
  <si>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</si>
  <si>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</si>
  <si>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</si>
  <si>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</si>
  <si>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</si>
  <si>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</si>
  <si>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</si>
  <si>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</si>
  <si>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</si>
  <si>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</si>
  <si>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</si>
  <si>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</si>
  <si>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</si>
  <si>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</si>
  <si>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</si>
  <si>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</si>
  <si>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</si>
  <si>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</si>
  <si>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</si>
  <si>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</si>
  <si>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</si>
  <si>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</si>
  <si>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</si>
  <si>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</si>
  <si>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</si>
  <si>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</si>
  <si>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</si>
  <si>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</si>
  <si>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</si>
  <si>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</si>
  <si>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</si>
  <si>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</si>
  <si>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</si>
  <si>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</si>
  <si>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</si>
  <si>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</si>
  <si>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</si>
  <si>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</si>
  <si>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</si>
  <si>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</si>
  <si>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</si>
  <si>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</si>
  <si>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</si>
  <si>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</si>
  <si>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</si>
  <si>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</si>
  <si>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</si>
  <si>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</si>
  <si>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</si>
  <si>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</si>
  <si>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</si>
  <si>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</si>
  <si>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</si>
  <si>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</si>
  <si>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</si>
  <si>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</si>
  <si>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</si>
  <si>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</si>
  <si>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</si>
  <si>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</si>
  <si>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</si>
  <si>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</si>
  <si>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</si>
  <si>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</si>
  <si>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</si>
  <si>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</si>
  <si>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</si>
  <si>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</si>
  <si>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</si>
  <si>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</si>
  <si>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</si>
  <si>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</si>
  <si>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</si>
  <si>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</si>
  <si>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</si>
  <si>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</si>
  <si>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</si>
  <si>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</si>
  <si>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</si>
  <si>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</si>
  <si>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</si>
  <si>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</si>
  <si>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</si>
  <si>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</si>
  <si>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</si>
  <si>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</si>
  <si>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</si>
  <si>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</si>
  <si>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</si>
  <si>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</si>
  <si>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</si>
  <si>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</si>
  <si>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</si>
  <si>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</si>
  <si>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</si>
  <si>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</si>
  <si>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</si>
  <si>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</si>
  <si>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</si>
  <si>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</si>
  <si>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</si>
  <si>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</si>
  <si>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</si>
  <si>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</si>
  <si>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</si>
  <si>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</si>
  <si>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</si>
  <si>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</si>
  <si>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</si>
  <si>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</si>
  <si>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</si>
  <si>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</si>
  <si>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</si>
  <si>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</si>
  <si>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</si>
  <si>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</si>
  <si>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</si>
  <si>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</si>
  <si>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</si>
  <si>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</si>
  <si>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</si>
  <si>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</si>
  <si>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</si>
  <si>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</si>
  <si>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</si>
  <si>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</si>
  <si>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</si>
  <si>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</si>
  <si>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</si>
  <si>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</si>
  <si>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</si>
  <si>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</si>
  <si>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</si>
  <si>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</si>
  <si>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</si>
  <si>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</si>
  <si>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</si>
  <si>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</si>
  <si>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</si>
  <si>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</si>
  <si>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</si>
  <si>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</si>
  <si>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</si>
  <si>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</si>
  <si>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</si>
  <si>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</si>
  <si>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</si>
  <si>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</si>
  <si>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</si>
  <si>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</si>
  <si>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</si>
  <si>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</si>
  <si>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</si>
  <si>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</si>
  <si>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</si>
  <si>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</si>
  <si>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</si>
  <si>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</si>
  <si>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</si>
  <si>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</si>
  <si>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</si>
  <si>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</si>
  <si>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</si>
  <si>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</si>
  <si>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</si>
  <si>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</si>
  <si>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</si>
  <si>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</si>
  <si>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</si>
  <si>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</si>
  <si>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</si>
  <si>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</si>
  <si>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</si>
  <si>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</si>
  <si>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</si>
  <si>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</si>
  <si>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</si>
  <si>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</si>
  <si>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</si>
  <si>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</si>
  <si>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</si>
  <si>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</si>
  <si>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</si>
  <si>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</si>
  <si>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</si>
  <si>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</si>
  <si>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</si>
  <si>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</si>
  <si>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</si>
  <si>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</si>
  <si>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</si>
  <si>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</si>
  <si>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</si>
  <si>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</si>
  <si>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</si>
  <si>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</si>
  <si>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</si>
  <si>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</si>
  <si>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</si>
  <si>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</si>
  <si>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</si>
  <si>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</si>
  <si>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</si>
  <si>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</si>
  <si>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</si>
  <si>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</si>
  <si>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</si>
  <si>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</si>
  <si>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</si>
  <si>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</si>
  <si>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</si>
  <si>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</si>
  <si>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</si>
  <si>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</si>
  <si>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</si>
  <si>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</si>
  <si>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</si>
  <si>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</si>
  <si>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</si>
  <si>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</si>
  <si>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</si>
  <si>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</si>
  <si>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</si>
  <si>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</si>
  <si>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</si>
  <si>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</si>
  <si>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</si>
  <si>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</si>
  <si>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</si>
  <si>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</si>
  <si>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</si>
  <si>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</si>
  <si>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</si>
  <si>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</si>
  <si>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</si>
  <si>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</si>
  <si>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</si>
  <si>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</si>
  <si>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</si>
  <si>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</si>
  <si>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</si>
  <si>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</si>
  <si>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</si>
  <si>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</si>
  <si>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</si>
  <si>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</si>
  <si>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</si>
  <si>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</si>
  <si>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</si>
  <si>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</si>
  <si>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</si>
  <si>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</si>
  <si>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</si>
  <si>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</si>
  <si>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</si>
  <si>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</si>
  <si>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</si>
  <si>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</si>
  <si>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</si>
  <si>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</si>
  <si>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</si>
  <si>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</si>
  <si>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</si>
  <si>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</si>
  <si>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</si>
  <si>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</si>
  <si>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</si>
  <si>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</si>
  <si>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</si>
  <si>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</si>
  <si>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</si>
  <si>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</si>
  <si>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</si>
  <si>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</si>
  <si>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</si>
  <si>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</si>
  <si>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</si>
  <si>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</si>
  <si>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</si>
  <si>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</si>
  <si>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</si>
  <si>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</si>
  <si>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</si>
  <si>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</si>
  <si>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</si>
  <si>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</si>
  <si>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</si>
  <si>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</si>
  <si>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</si>
  <si>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</si>
  <si>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</si>
  <si>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</si>
  <si>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</si>
  <si>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</si>
  <si>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</si>
  <si>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</si>
  <si>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</si>
  <si>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</si>
  <si>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</si>
  <si>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</si>
  <si>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</si>
  <si>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</si>
  <si>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</si>
  <si>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</si>
  <si>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</si>
  <si>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</si>
  <si>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</si>
  <si>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</si>
  <si>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</si>
  <si>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</si>
  <si>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</si>
  <si>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</si>
  <si>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</si>
  <si>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</si>
  <si>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</si>
  <si>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</si>
  <si>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</si>
  <si>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</si>
  <si>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</si>
  <si>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</si>
  <si>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</si>
  <si>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</si>
  <si>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</si>
  <si>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</si>
  <si>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</si>
  <si>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</si>
  <si>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</si>
  <si>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</si>
  <si>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</si>
  <si>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</si>
  <si>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</si>
  <si>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</si>
  <si>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</si>
  <si>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</si>
  <si>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</si>
  <si>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</si>
  <si>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</si>
  <si>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</si>
  <si>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</si>
  <si>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</si>
  <si>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</si>
  <si>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</si>
  <si>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</si>
  <si>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</si>
  <si>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</si>
  <si>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</si>
  <si>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</si>
  <si>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</si>
  <si>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</si>
  <si>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</si>
  <si>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</si>
  <si>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</si>
  <si>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</si>
  <si>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</si>
  <si>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</si>
  <si>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</si>
  <si>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</si>
  <si>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</si>
  <si>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</si>
  <si>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</si>
  <si>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</si>
  <si>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</si>
  <si>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</si>
  <si>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</si>
  <si>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</si>
  <si>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</si>
  <si>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</si>
  <si>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</si>
  <si>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</si>
  <si>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</si>
  <si>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</si>
  <si>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</si>
  <si>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</si>
  <si>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</si>
  <si>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</si>
  <si>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</si>
  <si>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</si>
  <si>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</si>
  <si>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</si>
  <si>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</si>
  <si>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</si>
  <si>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</si>
  <si>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</si>
  <si>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</si>
  <si>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</si>
  <si>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</si>
  <si>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</si>
  <si>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</si>
  <si>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</si>
  <si>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</si>
  <si>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</si>
  <si>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</si>
  <si>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</si>
  <si>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</si>
  <si>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</si>
  <si>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</si>
  <si>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</si>
  <si>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</si>
  <si>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</si>
  <si>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</si>
  <si>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</si>
  <si>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</si>
  <si>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</si>
  <si>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</si>
  <si>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</si>
  <si>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</si>
  <si>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</si>
  <si>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</si>
  <si>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</si>
  <si>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</si>
  <si>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</si>
  <si>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</si>
  <si>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</si>
  <si>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</si>
  <si>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</si>
  <si>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</si>
  <si>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</si>
  <si>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</si>
  <si>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</si>
  <si>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</si>
  <si>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</si>
  <si>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</si>
  <si>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</si>
  <si>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</si>
  <si>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</si>
  <si>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</si>
  <si>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</si>
  <si>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</si>
  <si>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</si>
  <si>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</si>
  <si>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</si>
  <si>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</si>
  <si>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</si>
  <si>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</si>
  <si>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</si>
  <si>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</si>
  <si>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</si>
  <si>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</si>
  <si>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</si>
  <si>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</si>
  <si>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</si>
  <si>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</si>
  <si>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</si>
  <si>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</si>
  <si>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</si>
  <si>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</si>
  <si>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</si>
  <si>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</si>
  <si>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</si>
  <si>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</si>
  <si>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</si>
  <si>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</si>
  <si>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</si>
  <si>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</si>
  <si>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</si>
  <si>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</si>
  <si>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</si>
  <si>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</si>
  <si>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</si>
  <si>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</si>
  <si>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</si>
  <si>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</si>
  <si>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</si>
  <si>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</si>
  <si>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</si>
  <si>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</si>
  <si>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</si>
  <si>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</si>
  <si>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</si>
  <si>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</si>
  <si>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</si>
  <si>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</si>
  <si>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</si>
  <si>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</si>
  <si>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</si>
  <si>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</si>
  <si>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</si>
  <si>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</si>
  <si>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</si>
  <si>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</si>
  <si>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</si>
  <si>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</si>
  <si>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</si>
  <si>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</si>
  <si>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</si>
  <si>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</si>
  <si>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</si>
  <si>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</si>
  <si>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</si>
  <si>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</si>
  <si>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</si>
  <si>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</si>
  <si>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</si>
  <si>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</si>
  <si>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</si>
  <si>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</si>
  <si>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</si>
  <si>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</si>
  <si>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</si>
  <si>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</si>
  <si>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</si>
  <si>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</si>
  <si>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</si>
  <si>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</si>
  <si>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</si>
  <si>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</si>
  <si>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</si>
  <si>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</si>
  <si>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</si>
  <si>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</si>
  <si>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</si>
  <si>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</si>
  <si>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</si>
  <si>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</si>
  <si>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</si>
  <si>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</si>
  <si>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</si>
  <si>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</si>
  <si>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</si>
  <si>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</si>
  <si>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</si>
  <si>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</si>
  <si>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</si>
  <si>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</si>
  <si>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</si>
  <si>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</si>
  <si>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</si>
  <si>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</si>
  <si>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</si>
  <si>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</si>
  <si>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</si>
  <si>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</si>
  <si>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</si>
  <si>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</si>
  <si>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</si>
  <si>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</si>
  <si>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</si>
  <si>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</si>
  <si>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</si>
  <si>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</si>
  <si>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</si>
  <si>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</si>
  <si>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</si>
  <si>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</si>
  <si>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</si>
  <si>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</si>
  <si>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</si>
  <si>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</si>
  <si>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</si>
  <si>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</si>
  <si>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</si>
  <si>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</si>
  <si>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</si>
  <si>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</si>
  <si>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</si>
  <si>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</si>
  <si>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</si>
  <si>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</si>
  <si>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</si>
  <si>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</si>
  <si>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</si>
  <si>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</si>
  <si>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</si>
  <si>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</si>
  <si>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</si>
  <si>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</si>
  <si>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</si>
  <si>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</si>
  <si>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</si>
  <si>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</si>
  <si>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</si>
  <si>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</si>
  <si>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</si>
  <si>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</si>
  <si>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</si>
  <si>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</si>
  <si>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</si>
  <si>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</si>
  <si>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</si>
  <si>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</si>
  <si>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</si>
  <si>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</si>
  <si>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</si>
  <si>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</si>
  <si>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</si>
  <si>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</si>
  <si>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</si>
  <si>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</si>
  <si>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</si>
  <si>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</si>
  <si>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</si>
  <si>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</si>
  <si>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</si>
  <si>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</si>
  <si>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</si>
  <si>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</si>
  <si>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</si>
  <si>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</si>
  <si>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</si>
  <si>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</si>
  <si>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</si>
  <si>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</si>
  <si>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</si>
  <si>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</si>
  <si>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</si>
  <si>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</si>
  <si>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</si>
  <si>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</si>
  <si>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</si>
  <si>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</si>
  <si>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</si>
  <si>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</si>
  <si>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</si>
  <si>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</si>
  <si>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</si>
  <si>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</si>
  <si>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</si>
  <si>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</si>
  <si>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</si>
  <si>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</si>
  <si>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</si>
  <si>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</si>
  <si>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</si>
  <si>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</si>
  <si>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</si>
  <si>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</si>
  <si>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</si>
  <si>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</si>
  <si>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</si>
  <si>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</si>
  <si>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</si>
  <si>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</si>
  <si>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</si>
  <si>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</si>
  <si>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</si>
  <si>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</si>
  <si>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</si>
  <si>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</si>
  <si>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</si>
  <si>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</si>
  <si>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</si>
  <si>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</si>
  <si>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</si>
  <si>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</si>
  <si>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</si>
  <si>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</si>
  <si>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</si>
  <si>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</si>
  <si>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</si>
  <si>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</si>
  <si>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</si>
  <si>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</si>
  <si>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</si>
  <si>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</si>
  <si>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</si>
  <si>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</si>
  <si>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</si>
  <si>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</si>
  <si>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</si>
  <si>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</si>
  <si>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</si>
  <si>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</si>
  <si>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</si>
  <si>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</si>
  <si>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</si>
  <si>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</si>
  <si>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</si>
  <si>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</si>
  <si>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</si>
  <si>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</si>
  <si>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</si>
  <si>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</si>
  <si>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</si>
  <si>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</si>
  <si>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</si>
  <si>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</si>
  <si>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</si>
  <si>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</si>
  <si>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</si>
  <si>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</si>
  <si>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</si>
  <si>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</si>
  <si>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</si>
  <si>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</si>
  <si>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</si>
  <si>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</si>
  <si>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</si>
  <si>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</si>
  <si>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</si>
  <si>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</si>
  <si>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</si>
  <si>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</si>
  <si>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</si>
  <si>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</si>
  <si>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</si>
  <si>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</si>
  <si>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</si>
  <si>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</si>
  <si>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</si>
  <si>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</si>
  <si>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</si>
  <si>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</si>
  <si>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</si>
  <si>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</si>
  <si>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</si>
  <si>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</si>
  <si>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</si>
  <si>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</si>
  <si>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</si>
  <si>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</si>
  <si>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</si>
  <si>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</si>
  <si>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</si>
  <si>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</si>
  <si>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</si>
  <si>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</si>
  <si>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</si>
  <si>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</si>
  <si>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</si>
  <si>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</si>
  <si>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</si>
  <si>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</si>
  <si>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</si>
  <si>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</si>
  <si>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</si>
  <si>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</si>
  <si>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</si>
  <si>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</si>
  <si>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</si>
  <si>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</si>
  <si>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</si>
  <si>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</si>
  <si>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</si>
  <si>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</si>
  <si>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</si>
  <si>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</si>
  <si>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</si>
  <si>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</si>
  <si>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</si>
  <si>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</si>
  <si>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</si>
  <si>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</si>
  <si>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</si>
  <si>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</si>
  <si>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</si>
  <si>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</si>
  <si>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</si>
  <si>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</si>
  <si>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</si>
  <si>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</si>
  <si>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</si>
  <si>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</si>
  <si>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</si>
  <si>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</si>
  <si>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</si>
  <si>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</si>
  <si>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</si>
  <si>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</si>
  <si>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</si>
  <si>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</si>
  <si>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</si>
  <si>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</si>
  <si>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</si>
  <si>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</si>
  <si>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</si>
  <si>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</si>
  <si>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</si>
  <si>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</si>
  <si>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</si>
  <si>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</si>
  <si>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</si>
  <si>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</si>
  <si>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</si>
  <si>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</si>
  <si>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</si>
  <si>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</si>
  <si>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</si>
  <si>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</si>
  <si>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</si>
  <si>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</si>
  <si>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</si>
  <si>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</si>
  <si>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</si>
  <si>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</si>
  <si>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</si>
  <si>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</si>
  <si>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</si>
  <si>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</si>
  <si>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</si>
  <si>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</si>
  <si>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</si>
  <si>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</si>
  <si>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</si>
  <si>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</si>
  <si>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</si>
  <si>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</si>
  <si>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</si>
  <si>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</si>
  <si>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</si>
  <si>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</si>
  <si>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</si>
  <si>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</si>
  <si>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</si>
  <si>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</si>
  <si>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</si>
  <si>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</si>
  <si>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</si>
  <si>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</si>
  <si>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</si>
  <si>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</si>
  <si>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</si>
  <si>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</si>
  <si>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</si>
  <si>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</si>
  <si>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</si>
  <si>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</si>
  <si>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</si>
  <si>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</si>
  <si>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</si>
  <si>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</si>
  <si>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</si>
  <si>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</si>
  <si>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</si>
  <si>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</si>
  <si>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</si>
  <si>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</si>
  <si>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</si>
  <si>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</si>
  <si>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</si>
  <si>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</si>
  <si>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</si>
  <si>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</si>
  <si>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</si>
  <si>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</si>
  <si>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</si>
  <si>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</si>
  <si>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</si>
  <si>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</si>
  <si>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</si>
  <si>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</si>
  <si>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</si>
  <si>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</si>
  <si>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</si>
  <si>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</si>
  <si>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</si>
  <si>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</si>
  <si>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</si>
  <si>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</si>
  <si>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</si>
  <si>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</si>
  <si>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</si>
  <si>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</si>
  <si>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</si>
  <si>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</si>
  <si>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</si>
  <si>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</si>
  <si>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</si>
  <si>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</si>
  <si>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</si>
  <si>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</si>
  <si>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</si>
  <si>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</si>
  <si>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</si>
  <si>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</si>
  <si>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</si>
  <si>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</si>
  <si>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</si>
  <si>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</si>
  <si>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</si>
  <si>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</si>
  <si>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</si>
  <si>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</si>
  <si>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</si>
  <si>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</si>
  <si>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</si>
  <si>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</si>
  <si>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</si>
  <si>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</si>
  <si>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</si>
  <si>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</si>
  <si>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</si>
  <si>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</si>
  <si>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</si>
  <si>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</si>
  <si>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</si>
  <si>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</si>
  <si>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</si>
  <si>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</si>
  <si>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</si>
  <si>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</si>
  <si>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</si>
  <si>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</si>
  <si>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</si>
  <si>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</si>
  <si>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</si>
  <si>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</si>
  <si>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</si>
  <si>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</si>
  <si>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</si>
  <si>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</si>
  <si>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</si>
  <si>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</si>
  <si>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</si>
  <si>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</si>
  <si>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</si>
  <si>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</si>
  <si>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</si>
  <si>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</si>
  <si>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</si>
  <si>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</si>
  <si>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</si>
  <si>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</si>
  <si>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</si>
  <si>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</si>
  <si>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</si>
  <si>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</si>
  <si>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</si>
  <si>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</si>
  <si>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</si>
  <si>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</si>
  <si>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</si>
  <si>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</si>
  <si>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</si>
  <si>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</si>
  <si>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</si>
  <si>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</si>
  <si>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</si>
  <si>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</si>
  <si>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</si>
  <si>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</si>
  <si>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</si>
  <si>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</si>
  <si>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</si>
  <si>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</si>
  <si>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</si>
  <si>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</si>
  <si>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</si>
  <si>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</si>
  <si>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</si>
  <si>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</si>
  <si>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</si>
  <si>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</si>
  <si>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</si>
  <si>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</si>
  <si>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</si>
  <si>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</si>
  <si>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</si>
  <si>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</si>
  <si>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</si>
  <si>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</si>
  <si>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</si>
  <si>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</si>
  <si>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</si>
  <si>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</si>
  <si>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</si>
  <si>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</si>
  <si>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</si>
  <si>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</si>
  <si>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</si>
  <si>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</si>
  <si>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</si>
  <si>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</si>
  <si>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</si>
  <si>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</si>
  <si>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</si>
  <si>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</si>
  <si>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</si>
  <si>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</si>
  <si>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</si>
  <si>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</si>
  <si>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</si>
  <si>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</si>
  <si>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</si>
  <si>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</si>
  <si>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</si>
  <si>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</si>
  <si>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</si>
  <si>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</si>
  <si>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</si>
  <si>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</si>
  <si>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</si>
  <si>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</si>
  <si>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</si>
  <si>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</si>
  <si>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</si>
  <si>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</si>
  <si>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</si>
  <si>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</si>
  <si>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</si>
  <si>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</si>
  <si>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</si>
  <si>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</si>
  <si>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</si>
  <si>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</si>
  <si>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</si>
  <si>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</si>
  <si>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</si>
  <si>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</si>
  <si>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</si>
  <si>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</si>
  <si>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</si>
  <si>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</si>
  <si>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</si>
  <si>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</si>
  <si>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</si>
  <si>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</si>
  <si>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</si>
  <si>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</si>
  <si>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</si>
  <si>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</si>
  <si>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</si>
  <si>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</si>
  <si>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</si>
  <si>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</si>
  <si>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</si>
  <si>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</si>
  <si>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</si>
  <si>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</si>
  <si>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</si>
  <si>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</si>
  <si>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</si>
  <si>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</si>
  <si>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</si>
  <si>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</si>
  <si>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</si>
  <si>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</si>
  <si>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</si>
  <si>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</si>
  <si>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</si>
  <si>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</si>
  <si>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</si>
  <si>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</si>
  <si>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</si>
  <si>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</si>
  <si>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</si>
  <si>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</si>
  <si>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</si>
  <si>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</si>
  <si>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</si>
  <si>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</si>
  <si>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</si>
  <si>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</si>
  <si>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</si>
  <si>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</si>
  <si>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</si>
  <si>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</si>
  <si>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</si>
  <si>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</si>
  <si>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</si>
  <si>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</si>
  <si>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</si>
  <si>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</si>
  <si>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</si>
  <si>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</si>
  <si>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</si>
  <si>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</si>
  <si>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</si>
  <si>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</si>
  <si>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</si>
  <si>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</si>
  <si>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</si>
  <si>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</si>
  <si>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</si>
  <si>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</si>
  <si>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</si>
  <si>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</si>
  <si>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</si>
  <si>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</si>
  <si>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</si>
  <si>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</si>
  <si>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</si>
  <si>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</si>
  <si>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</si>
  <si>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</si>
  <si>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</si>
  <si>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</si>
  <si>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</si>
  <si>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</si>
  <si>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</si>
  <si>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</si>
  <si>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</si>
  <si>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</si>
  <si>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</si>
  <si>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</si>
  <si>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</si>
  <si>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</si>
  <si>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</si>
  <si>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</si>
  <si>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</si>
  <si>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</si>
  <si>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</si>
  <si>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</si>
  <si>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</si>
  <si>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</si>
  <si>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</si>
  <si>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</si>
  <si>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</si>
  <si>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</si>
  <si>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</si>
  <si>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</si>
  <si>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</si>
  <si>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</si>
  <si>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</si>
  <si>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</si>
  <si>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</si>
  <si>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</si>
  <si>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</si>
  <si>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</si>
  <si>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</si>
  <si>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</si>
  <si>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</si>
  <si>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</si>
  <si>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</si>
  <si>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</si>
  <si>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</si>
  <si>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</si>
  <si>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</si>
  <si>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</si>
  <si>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</si>
  <si>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</si>
  <si>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</si>
  <si>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</si>
  <si>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</si>
  <si>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</si>
  <si>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</si>
  <si>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</si>
  <si>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</si>
  <si>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</si>
  <si>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</si>
  <si>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</si>
  <si>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</si>
  <si>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</si>
  <si>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</si>
  <si>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</si>
  <si>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</si>
  <si>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</si>
  <si>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</si>
  <si>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</si>
  <si>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</si>
  <si>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</si>
  <si>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</si>
  <si>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</si>
  <si>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</si>
  <si>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</si>
  <si>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</si>
  <si>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</si>
  <si>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</si>
  <si>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</si>
  <si>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</si>
  <si>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</si>
  <si>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</si>
  <si>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</si>
  <si>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</si>
  <si>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</si>
  <si>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</si>
  <si>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</si>
  <si>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</si>
  <si>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</si>
  <si>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</si>
  <si>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</si>
  <si>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</si>
  <si>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</si>
  <si>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</si>
  <si>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</si>
  <si>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</si>
  <si>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</si>
  <si>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</si>
  <si>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</si>
  <si>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</si>
  <si>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</si>
  <si>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</si>
  <si>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</si>
  <si>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</si>
  <si>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</si>
  <si>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</si>
  <si>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</si>
  <si>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</si>
  <si>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</si>
  <si>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</si>
  <si>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</si>
  <si>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</si>
  <si>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</si>
  <si>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</si>
  <si>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</si>
  <si>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</si>
  <si>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</si>
  <si>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</si>
  <si>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</si>
  <si>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</si>
  <si>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</si>
  <si>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</si>
  <si>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</si>
  <si>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</si>
  <si>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</si>
  <si>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</si>
  <si>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</si>
  <si>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</si>
  <si>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</si>
  <si>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</si>
  <si>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</si>
  <si>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</si>
  <si>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</si>
  <si>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</si>
  <si>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</si>
  <si>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</si>
  <si>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</si>
  <si>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</si>
  <si>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</si>
  <si>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</si>
  <si>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</si>
  <si>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</si>
  <si>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</si>
  <si>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</si>
  <si>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</si>
  <si>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</si>
  <si>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</si>
  <si>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</si>
  <si>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</si>
  <si>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</si>
  <si>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</si>
  <si>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</si>
  <si>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</si>
  <si>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</si>
  <si>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</si>
  <si>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</si>
  <si>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</si>
  <si>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</si>
  <si>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</si>
  <si>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</si>
  <si>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</si>
  <si>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</si>
  <si>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</si>
  <si>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</si>
  <si>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</si>
  <si>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</si>
  <si>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</si>
  <si>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</si>
  <si>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</si>
  <si>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</si>
  <si>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</si>
  <si>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</si>
  <si>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</si>
  <si>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</si>
  <si>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</si>
  <si>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</si>
  <si>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</si>
  <si>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</si>
  <si>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</si>
  <si>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</si>
  <si>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</si>
  <si>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</si>
  <si>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</si>
  <si>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</si>
  <si>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</si>
  <si>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</si>
  <si>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</si>
  <si>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</si>
  <si>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</si>
  <si>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</si>
  <si>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</si>
  <si>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</si>
  <si>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</si>
  <si>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</si>
  <si>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</si>
  <si>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</si>
  <si>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</si>
  <si>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</si>
  <si>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</si>
  <si>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</si>
  <si>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</si>
  <si>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</si>
  <si>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</si>
  <si>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</si>
  <si>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</si>
  <si>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</si>
  <si>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</si>
  <si>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</si>
  <si>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</si>
  <si>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</si>
  <si>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</si>
  <si>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</si>
  <si>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</si>
  <si>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</si>
  <si>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</si>
  <si>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</si>
  <si>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</si>
  <si>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</si>
  <si>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</si>
  <si>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</si>
  <si>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</si>
  <si>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</si>
  <si>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</si>
  <si>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</si>
  <si>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</si>
  <si>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</si>
  <si>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</si>
  <si>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</si>
  <si>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</si>
  <si>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</si>
  <si>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</si>
  <si>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</si>
  <si>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</si>
  <si>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</si>
  <si>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</si>
  <si>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</si>
  <si>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</si>
  <si>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</si>
  <si>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</si>
  <si>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</si>
  <si>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</si>
  <si>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</si>
  <si>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</si>
  <si>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</si>
  <si>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</si>
  <si>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</si>
  <si>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</si>
  <si>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</si>
  <si>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</si>
  <si>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</si>
  <si>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</si>
  <si>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</si>
  <si>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</si>
  <si>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</si>
  <si>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</si>
  <si>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</si>
  <si>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</si>
  <si>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</si>
  <si>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</si>
  <si>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</si>
  <si>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</si>
  <si>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</si>
  <si>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</si>
  <si>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</si>
  <si>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</si>
  <si>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</si>
  <si>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</si>
  <si>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</si>
  <si>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</si>
  <si>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</si>
  <si>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</si>
  <si>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</si>
  <si>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</si>
  <si>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</si>
  <si>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</si>
  <si>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</si>
  <si>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</si>
  <si>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</si>
  <si>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</si>
  <si>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</si>
  <si>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</si>
  <si>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</si>
  <si>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</si>
  <si>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</si>
  <si>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</si>
  <si>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</si>
  <si>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</si>
  <si>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</si>
  <si>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</si>
  <si>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</si>
  <si>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</si>
  <si>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</si>
  <si>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</si>
  <si>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</si>
  <si>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</si>
  <si>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</si>
  <si>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</si>
  <si>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</si>
  <si>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</si>
  <si>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</si>
  <si>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</si>
  <si>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</si>
  <si>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</si>
  <si>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</si>
  <si>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</si>
  <si>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</si>
  <si>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</si>
  <si>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</si>
  <si>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</si>
  <si>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</si>
  <si>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</si>
  <si>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</si>
  <si>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</si>
  <si>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</si>
  <si>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</si>
  <si>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</si>
  <si>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</si>
  <si>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</si>
  <si>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</si>
  <si>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</si>
  <si>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</si>
  <si>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</si>
  <si>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</si>
  <si>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</si>
  <si>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</si>
  <si>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</si>
  <si>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</si>
  <si>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</si>
  <si>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</si>
  <si>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</si>
  <si>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</si>
  <si>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</si>
  <si>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</si>
  <si>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</si>
  <si>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</si>
  <si>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</si>
  <si>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</si>
  <si>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</si>
  <si>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</si>
  <si>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</si>
  <si>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</si>
  <si>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</si>
  <si>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</si>
  <si>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</si>
  <si>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</si>
  <si>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</si>
  <si>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</si>
  <si>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</si>
  <si>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</si>
  <si>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</si>
  <si>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</si>
  <si>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</si>
  <si>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</si>
  <si>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</si>
  <si>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</si>
  <si>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</si>
  <si>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</si>
  <si>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</si>
  <si>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</si>
  <si>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</si>
  <si>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</si>
  <si>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</si>
  <si>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</si>
  <si>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</si>
  <si>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</si>
  <si>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</si>
  <si>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</si>
  <si>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</si>
  <si>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</si>
  <si>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</si>
  <si>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</si>
  <si>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</si>
  <si>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</si>
  <si>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</si>
  <si>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</si>
  <si>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</si>
  <si>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</si>
  <si>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</si>
  <si>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</si>
  <si>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</si>
  <si>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</si>
  <si>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</si>
  <si>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</si>
  <si>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</si>
  <si>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</si>
  <si>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</si>
  <si>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</si>
  <si>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</si>
  <si>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</si>
  <si>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</si>
  <si>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</si>
  <si>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</si>
  <si>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</si>
  <si>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</si>
  <si>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</si>
  <si>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</si>
  <si>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</si>
  <si>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</si>
  <si>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</si>
  <si>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</si>
  <si>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</si>
  <si>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</si>
  <si>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</si>
  <si>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</si>
  <si>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</si>
  <si>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</si>
  <si>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</si>
  <si>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</si>
  <si>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</si>
  <si>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</si>
  <si>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</si>
  <si>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</si>
  <si>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</si>
  <si>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</si>
  <si>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</si>
  <si>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</si>
  <si>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</si>
  <si>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</si>
  <si>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</si>
  <si>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</si>
  <si>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</si>
  <si>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</si>
  <si>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</si>
  <si>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</si>
  <si>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</si>
  <si>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</si>
  <si>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</si>
  <si>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</si>
  <si>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</si>
  <si>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</si>
  <si>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</si>
  <si>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</si>
  <si>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</si>
  <si>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</si>
  <si>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</si>
  <si>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</si>
  <si>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</si>
  <si>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</si>
  <si>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</si>
  <si>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</si>
  <si>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</si>
  <si>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</si>
  <si>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</si>
  <si>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</si>
  <si>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</si>
  <si>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</si>
  <si>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</si>
  <si>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</si>
  <si>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</si>
  <si>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</si>
  <si>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</si>
  <si>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</si>
  <si>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</si>
  <si>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</si>
  <si>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</si>
  <si>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</si>
  <si>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</si>
  <si>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</si>
  <si>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</si>
  <si>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</si>
  <si>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</si>
  <si>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</si>
  <si>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</si>
  <si>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</si>
  <si>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</si>
  <si>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</si>
  <si>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</si>
  <si>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</si>
  <si>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</si>
  <si>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</si>
  <si>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</si>
  <si>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</si>
  <si>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</si>
  <si>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</si>
  <si>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</si>
  <si>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</si>
  <si>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</si>
  <si>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</si>
  <si>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</si>
  <si>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</si>
  <si>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</si>
  <si>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</si>
  <si>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</si>
  <si>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</si>
  <si>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</si>
  <si>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</si>
  <si>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</si>
  <si>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</si>
  <si>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</si>
  <si>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</si>
  <si>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</si>
  <si>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</si>
  <si>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</si>
  <si>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</si>
  <si>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</si>
  <si>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</si>
  <si>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</si>
  <si>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</si>
  <si>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</si>
  <si>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</si>
  <si>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</si>
  <si>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</si>
  <si>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</si>
  <si>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</si>
  <si>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</si>
  <si>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</si>
  <si>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</si>
  <si>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</si>
  <si>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</si>
  <si>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</si>
  <si>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</si>
  <si>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</si>
  <si>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</si>
  <si>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</si>
  <si>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</si>
  <si>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</si>
  <si>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</si>
  <si>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</si>
  <si>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</si>
  <si>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</si>
  <si>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</si>
  <si>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</si>
  <si>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</si>
  <si>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</si>
  <si>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</si>
  <si>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</si>
  <si>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</si>
  <si>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</si>
  <si>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</si>
  <si>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</si>
  <si>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</si>
  <si>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</si>
  <si>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</si>
  <si>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</si>
  <si>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</si>
  <si>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</si>
  <si>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</si>
  <si>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</si>
  <si>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</si>
  <si>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</si>
  <si>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</si>
  <si>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</si>
  <si>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</si>
  <si>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</si>
  <si>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</si>
  <si>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</si>
  <si>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</si>
  <si>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</si>
  <si>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</si>
  <si>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</si>
  <si>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</si>
  <si>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</si>
  <si>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</si>
  <si>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</si>
  <si>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</si>
  <si>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</si>
  <si>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</si>
  <si>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</si>
  <si>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</si>
  <si>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</si>
  <si>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</si>
  <si>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</si>
  <si>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</si>
  <si>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</si>
  <si>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</si>
  <si>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</si>
  <si>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</si>
  <si>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</si>
  <si>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</si>
  <si>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</si>
  <si>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</si>
  <si>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</si>
  <si>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</si>
  <si>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</si>
  <si>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</si>
  <si>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</si>
  <si>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</si>
  <si>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</si>
  <si>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</si>
  <si>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</si>
  <si>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</si>
  <si>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</si>
  <si>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</si>
  <si>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</si>
  <si>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</si>
  <si>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</si>
  <si>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</si>
  <si>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</si>
  <si>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</si>
  <si>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</si>
  <si>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</si>
  <si>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</si>
  <si>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</si>
  <si>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</si>
  <si>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</si>
  <si>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</si>
  <si>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</si>
  <si>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</si>
  <si>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</si>
  <si>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</si>
  <si>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</si>
  <si>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</si>
  <si>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</si>
  <si>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</si>
  <si>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</si>
  <si>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</si>
  <si>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</si>
  <si>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</si>
  <si>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</si>
  <si>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</si>
  <si>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</si>
  <si>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</si>
  <si>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</si>
  <si>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</si>
  <si>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</si>
  <si>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</si>
  <si>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</si>
  <si>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</si>
  <si>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</si>
  <si>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</si>
  <si>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</si>
  <si>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</si>
  <si>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</si>
  <si>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</si>
  <si>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</si>
  <si>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</si>
  <si>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</si>
  <si>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</si>
  <si>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</si>
  <si>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</si>
  <si>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</si>
  <si>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</si>
  <si>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</si>
  <si>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</si>
  <si>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</si>
  <si>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</si>
  <si>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</si>
  <si>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</si>
  <si>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</si>
  <si>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</si>
  <si>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</si>
  <si>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</si>
  <si>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</si>
  <si>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</si>
  <si>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</si>
  <si>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</si>
  <si>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</si>
  <si>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</si>
  <si>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</si>
  <si>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</si>
  <si>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</si>
  <si>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</si>
  <si>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</si>
  <si>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</si>
  <si>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</si>
  <si>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</si>
  <si>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</si>
  <si>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</si>
  <si>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</si>
  <si>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</si>
  <si>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</si>
  <si>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</si>
  <si>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</si>
  <si>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</si>
  <si>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</si>
  <si>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</si>
  <si>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</si>
  <si>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</si>
  <si>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</si>
  <si>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</si>
  <si>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</si>
  <si>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</si>
  <si>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</si>
  <si>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</si>
  <si>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</si>
  <si>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</si>
  <si>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</si>
  <si>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</si>
  <si>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</si>
  <si>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</si>
  <si>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</si>
  <si>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</si>
  <si>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</si>
  <si>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</si>
  <si>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</si>
  <si>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</si>
  <si>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</si>
  <si>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</si>
  <si>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</si>
  <si>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</si>
  <si>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</si>
  <si>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</si>
  <si>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</si>
  <si>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</si>
  <si>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</si>
  <si>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</si>
  <si>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</si>
  <si>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</si>
  <si>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</si>
  <si>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</si>
  <si>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</si>
  <si>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</si>
  <si>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</si>
  <si>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</si>
  <si>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</si>
  <si>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</si>
  <si>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</si>
  <si>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</si>
  <si>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</si>
  <si>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</si>
  <si>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</si>
  <si>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</si>
  <si>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</si>
  <si>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</si>
  <si>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</si>
  <si>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</si>
  <si>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</si>
  <si>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</si>
  <si>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</si>
  <si>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</si>
  <si>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</si>
  <si>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</si>
  <si>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</si>
  <si>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</si>
  <si>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</si>
  <si>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</si>
  <si>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</si>
  <si>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</si>
  <si>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</si>
  <si>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</si>
  <si>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</si>
  <si>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</si>
  <si>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</si>
  <si>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</si>
  <si>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</si>
  <si>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</si>
  <si>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</si>
  <si>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</si>
  <si>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</si>
  <si>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</si>
  <si>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</si>
  <si>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</si>
  <si>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</si>
  <si>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</si>
  <si>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</si>
  <si>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</si>
  <si>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</si>
  <si>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</si>
  <si>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</si>
  <si>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</si>
  <si>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</si>
  <si>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</si>
  <si>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</si>
  <si>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</si>
  <si>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</si>
  <si>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</si>
  <si>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</si>
  <si>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</si>
  <si>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</si>
  <si>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</si>
  <si>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</si>
  <si>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</si>
  <si>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</si>
  <si>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</si>
  <si>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</si>
  <si>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</si>
  <si>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</si>
  <si>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</si>
  <si>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</si>
  <si>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</si>
  <si>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</si>
  <si>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</si>
  <si>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</si>
  <si>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</si>
  <si>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</si>
  <si>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</si>
  <si>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</si>
  <si>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</si>
  <si>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</si>
  <si>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</si>
  <si>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</si>
  <si>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</si>
  <si>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</si>
  <si>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</si>
  <si>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</si>
  <si>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</si>
  <si>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</si>
  <si>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</si>
  <si>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</si>
  <si>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</si>
  <si>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</si>
  <si>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</si>
  <si>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</si>
  <si>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</si>
  <si>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</si>
  <si>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</si>
  <si>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</si>
  <si>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</si>
  <si>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</si>
  <si>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</si>
  <si>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</si>
  <si>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</si>
  <si>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</si>
  <si>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</si>
  <si>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</si>
  <si>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</si>
  <si>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</si>
  <si>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</si>
  <si>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</si>
  <si>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</si>
  <si>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</si>
  <si>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</si>
  <si>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</si>
  <si>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</si>
  <si>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</si>
  <si>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</si>
  <si>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</si>
  <si>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</si>
  <si>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</si>
  <si>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</si>
  <si>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</si>
  <si>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</si>
  <si>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</si>
  <si>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</si>
  <si>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</si>
  <si>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</si>
  <si>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</si>
  <si>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</si>
  <si>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</si>
  <si>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</si>
  <si>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</si>
  <si>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</si>
  <si>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</si>
  <si>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</si>
  <si>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</si>
  <si>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</si>
  <si>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</si>
  <si>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</si>
  <si>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</si>
  <si>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</si>
  <si>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</si>
  <si>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</si>
  <si>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</si>
  <si>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</si>
  <si>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</si>
  <si>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</si>
  <si>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</si>
  <si>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</si>
  <si>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</si>
  <si>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</si>
  <si>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</si>
  <si>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</si>
  <si>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</si>
  <si>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</si>
  <si>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</si>
  <si>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</si>
  <si>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</si>
  <si>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</si>
  <si>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</si>
  <si>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</si>
  <si>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</si>
  <si>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</si>
  <si>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</si>
  <si>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</si>
  <si>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</si>
  <si>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</si>
  <si>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</si>
  <si>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</si>
  <si>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</si>
  <si>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</si>
  <si>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</si>
  <si>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</si>
  <si>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</si>
  <si>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</si>
  <si>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</si>
  <si>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</si>
  <si>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</si>
  <si>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</si>
  <si>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</si>
  <si>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</si>
  <si>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</si>
  <si>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</si>
  <si>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</si>
  <si>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</si>
  <si>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</si>
  <si>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</si>
  <si>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</si>
  <si>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</si>
  <si>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</si>
  <si>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</si>
  <si>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</si>
  <si>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</si>
  <si>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</si>
  <si>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</si>
  <si>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</si>
  <si>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</si>
  <si>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</si>
  <si>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</si>
  <si>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</si>
  <si>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</si>
  <si>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</si>
  <si>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</si>
  <si>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</si>
  <si>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</si>
  <si>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</si>
  <si>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</si>
  <si>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</si>
  <si>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</si>
  <si>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</si>
  <si>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</si>
  <si>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</si>
  <si>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</si>
  <si>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</si>
  <si>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</si>
  <si>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</si>
  <si>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</si>
  <si>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</si>
  <si>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</si>
  <si>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</si>
  <si>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</si>
  <si>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</si>
  <si>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</si>
  <si>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</si>
  <si>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</si>
  <si>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</si>
  <si>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</si>
  <si>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</si>
  <si>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</si>
  <si>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</si>
  <si>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</si>
  <si>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</si>
  <si>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</si>
  <si>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</si>
  <si>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</si>
  <si>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</si>
  <si>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</si>
  <si>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</si>
  <si>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</si>
  <si>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</si>
  <si>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</si>
  <si>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</si>
  <si>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</si>
  <si>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</si>
  <si>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</si>
  <si>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</si>
  <si>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</si>
  <si>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</si>
  <si>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</si>
  <si>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</si>
  <si>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</si>
  <si>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</si>
  <si>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</si>
  <si>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</si>
  <si>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</si>
  <si>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</si>
  <si>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</si>
  <si>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</si>
  <si>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</si>
  <si>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</si>
  <si>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</si>
  <si>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</si>
  <si>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</si>
  <si>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</si>
  <si>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</si>
  <si>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</si>
  <si>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</si>
  <si>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</si>
  <si>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</si>
  <si>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</si>
  <si>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</si>
  <si>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</si>
  <si>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</si>
  <si>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</si>
  <si>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</si>
  <si>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</si>
  <si>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</si>
  <si>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</si>
  <si>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</si>
  <si>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</si>
  <si>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</si>
  <si>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</si>
  <si>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</si>
  <si>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</si>
  <si>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</si>
  <si>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</si>
  <si>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</si>
  <si>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</si>
  <si>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</si>
  <si>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</si>
  <si>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</si>
  <si>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</si>
  <si>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</si>
  <si>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</si>
  <si>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</si>
  <si>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</si>
  <si>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</si>
  <si>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</si>
  <si>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</si>
  <si>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</si>
  <si>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</si>
  <si>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</si>
  <si>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</si>
  <si>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</si>
  <si>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</si>
  <si>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</si>
  <si>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</si>
  <si>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</si>
  <si>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</si>
  <si>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</si>
  <si>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</si>
  <si>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</si>
  <si>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</si>
  <si>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</si>
  <si>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</si>
  <si>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</si>
  <si>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</si>
  <si>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</si>
  <si>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</si>
  <si>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</si>
  <si>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</si>
  <si>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</si>
  <si>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</si>
  <si>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</si>
  <si>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</si>
  <si>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</si>
  <si>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</si>
  <si>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</si>
  <si>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</si>
  <si>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</si>
  <si>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</si>
  <si>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</si>
  <si>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</si>
  <si>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</si>
  <si>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</si>
  <si>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</si>
  <si>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</si>
  <si>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</si>
  <si>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</si>
  <si>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</si>
  <si>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</si>
  <si>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</si>
  <si>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</si>
  <si>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</si>
  <si>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</si>
  <si>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</si>
  <si>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</si>
  <si>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</si>
  <si>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</si>
  <si>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</si>
  <si>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</si>
  <si>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</si>
  <si>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</si>
  <si>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</si>
  <si>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</si>
  <si>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</si>
  <si>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</si>
  <si>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</si>
  <si>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</si>
  <si>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</si>
  <si>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</si>
  <si>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</si>
  <si>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</si>
  <si>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</si>
  <si>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</si>
  <si>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</si>
  <si>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</si>
  <si>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</si>
  <si>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</si>
  <si>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</si>
  <si>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</si>
  <si>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</si>
  <si>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</si>
  <si>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</si>
  <si>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</si>
  <si>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</si>
  <si>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</si>
  <si>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</si>
  <si>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</si>
  <si>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</si>
  <si>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</si>
  <si>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</si>
  <si>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</si>
  <si>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</si>
  <si>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</si>
  <si>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</si>
  <si>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</si>
  <si>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</si>
  <si>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</si>
  <si>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</si>
  <si>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</si>
  <si>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</si>
  <si>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</si>
  <si>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</si>
  <si>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</si>
  <si>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</si>
  <si>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</si>
  <si>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</si>
  <si>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</si>
  <si>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</si>
  <si>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</si>
  <si>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</si>
  <si>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</si>
  <si>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</si>
  <si>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</si>
  <si>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</si>
  <si>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</si>
  <si>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</si>
  <si>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</si>
  <si>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</si>
  <si>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</si>
  <si>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</si>
  <si>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</si>
  <si>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</si>
  <si>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</si>
  <si>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</si>
  <si>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</si>
  <si>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</si>
  <si>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</si>
  <si>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</si>
  <si>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</si>
  <si>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</si>
  <si>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</si>
  <si>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</si>
  <si>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</si>
  <si>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</si>
  <si>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</si>
  <si>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</si>
  <si>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</si>
  <si>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</si>
  <si>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</si>
  <si>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</si>
  <si>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</si>
  <si>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</si>
  <si>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</si>
  <si>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</si>
  <si>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</si>
  <si>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</si>
  <si>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</si>
  <si>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</si>
  <si>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</si>
  <si>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</si>
  <si>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</si>
  <si>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</si>
  <si>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</si>
  <si>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</si>
  <si>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</si>
  <si>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</si>
  <si>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</si>
  <si>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</si>
  <si>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</si>
  <si>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</si>
  <si>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</si>
  <si>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</si>
  <si>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</si>
  <si>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</si>
  <si>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</si>
  <si>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</si>
  <si>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</si>
  <si>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</si>
  <si>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</si>
  <si>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</si>
  <si>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</si>
  <si>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</si>
  <si>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</si>
  <si>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</si>
  <si>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</si>
  <si>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</si>
  <si>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</si>
  <si>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</si>
  <si>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</si>
  <si>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</si>
  <si>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</si>
  <si>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</si>
  <si>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</si>
  <si>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</si>
  <si>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</si>
  <si>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</si>
  <si>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</si>
  <si>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</si>
  <si>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</si>
  <si>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</si>
  <si>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</si>
  <si>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</si>
  <si>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</si>
  <si>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</si>
  <si>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</si>
  <si>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</si>
  <si>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</si>
  <si>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</si>
  <si>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</si>
  <si>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</si>
  <si>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</si>
  <si>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</si>
  <si>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</si>
  <si>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</si>
  <si>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</si>
  <si>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</si>
  <si>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</si>
  <si>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</si>
  <si>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</si>
  <si>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</si>
  <si>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</si>
  <si>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</si>
  <si>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</si>
  <si>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</si>
  <si>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</si>
  <si>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</si>
  <si>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</si>
  <si>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</si>
  <si>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</si>
  <si>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</si>
  <si>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</si>
  <si>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</si>
  <si>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</si>
  <si>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</si>
  <si>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</si>
  <si>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</si>
  <si>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</si>
  <si>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</si>
  <si>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</si>
  <si>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</si>
  <si>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</si>
  <si>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</si>
  <si>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</si>
  <si>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</si>
  <si>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</si>
  <si>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</si>
  <si>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</si>
  <si>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</si>
  <si>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</si>
  <si>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</si>
  <si>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</si>
  <si>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</si>
  <si>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</si>
  <si>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</si>
  <si>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</si>
  <si>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</si>
  <si>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</si>
  <si>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</si>
  <si>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</si>
  <si>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</si>
  <si>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</si>
  <si>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</si>
  <si>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</si>
  <si>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</si>
  <si>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</si>
  <si>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</si>
  <si>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</si>
  <si>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</si>
  <si>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</si>
  <si>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</si>
  <si>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</si>
  <si>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</si>
  <si>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</si>
  <si>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</si>
  <si>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</si>
  <si>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</si>
  <si>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</si>
  <si>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</si>
  <si>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</si>
  <si>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</si>
  <si>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</si>
  <si>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</si>
  <si>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</si>
  <si>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</si>
  <si>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</si>
  <si>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</si>
  <si>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</si>
  <si>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</si>
  <si>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</si>
  <si>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</si>
  <si>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</si>
  <si>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</si>
  <si>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</si>
  <si>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</si>
  <si>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</si>
  <si>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</si>
  <si>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</si>
  <si>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</si>
  <si>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</si>
  <si>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</si>
  <si>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</si>
  <si>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</si>
  <si>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</si>
  <si>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</si>
  <si>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</si>
  <si>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</si>
  <si>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</si>
  <si>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</si>
  <si>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</si>
  <si>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</si>
  <si>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</si>
  <si>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</si>
  <si>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</si>
  <si>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</si>
  <si>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</si>
  <si>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</si>
  <si>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</si>
  <si>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</si>
  <si>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</si>
  <si>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</si>
  <si>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</si>
  <si>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</si>
  <si>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</si>
  <si>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</si>
  <si>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</si>
  <si>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</si>
  <si>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</si>
  <si>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</si>
  <si>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</si>
  <si>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</si>
  <si>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</si>
  <si>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</si>
  <si>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</si>
  <si>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</si>
  <si>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</si>
  <si>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</si>
  <si>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</si>
  <si>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</si>
  <si>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</si>
  <si>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</si>
  <si>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</si>
  <si>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</si>
  <si>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</si>
  <si>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</si>
  <si>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</si>
  <si>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</si>
  <si>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</si>
  <si>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</si>
  <si>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</si>
  <si>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</si>
  <si>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</si>
  <si>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</si>
  <si>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</si>
  <si>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</si>
  <si>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</si>
  <si>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</si>
  <si>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</si>
  <si>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</si>
  <si>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</si>
  <si>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</si>
  <si>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</si>
  <si>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</si>
  <si>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</si>
  <si>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</si>
  <si>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</si>
  <si>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</si>
  <si>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</si>
  <si>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</si>
  <si>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</si>
  <si>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</si>
  <si>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</si>
  <si>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</si>
  <si>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</si>
  <si>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</si>
  <si>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</si>
  <si>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</si>
  <si>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</si>
  <si>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</si>
  <si>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</si>
  <si>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</si>
  <si>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</si>
  <si>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</si>
  <si>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</si>
  <si>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</si>
  <si>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</si>
  <si>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</si>
  <si>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</si>
  <si>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</si>
  <si>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</si>
  <si>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</si>
  <si>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</si>
  <si>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</si>
  <si>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</si>
  <si>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</si>
  <si>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</si>
  <si>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</si>
  <si>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</si>
  <si>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</si>
  <si>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</si>
  <si>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</si>
  <si>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</si>
  <si>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</si>
  <si>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</si>
  <si>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</si>
  <si>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</si>
  <si>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</si>
  <si>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</si>
  <si>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</si>
  <si>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</si>
  <si>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</si>
  <si>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</si>
  <si>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</si>
  <si>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</si>
  <si>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</si>
  <si>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</si>
  <si>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</si>
  <si>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</si>
  <si>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</si>
  <si>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</si>
  <si>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</si>
  <si>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</si>
  <si>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</si>
  <si>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</si>
  <si>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</si>
  <si>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</si>
  <si>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</si>
  <si>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</si>
  <si>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</si>
  <si>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</si>
  <si>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</si>
  <si>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</si>
  <si>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</si>
  <si>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</si>
  <si>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</si>
  <si>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</si>
  <si>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</si>
  <si>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</si>
  <si>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</si>
  <si>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</si>
  <si>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</si>
  <si>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</si>
  <si>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</si>
  <si>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</si>
  <si>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</si>
  <si>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</si>
  <si>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</si>
  <si>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</si>
  <si>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</si>
  <si>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</si>
  <si>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</si>
  <si>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</si>
  <si>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</si>
  <si>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</si>
  <si>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</si>
  <si>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</si>
  <si>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</si>
  <si>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</si>
  <si>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</si>
  <si>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</si>
  <si>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</si>
  <si>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</si>
  <si>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</si>
  <si>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</si>
  <si>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</si>
  <si>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</si>
  <si>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</si>
  <si>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</si>
  <si>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</si>
  <si>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</si>
  <si>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</si>
  <si>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</si>
  <si>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</si>
  <si>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</si>
  <si>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</si>
  <si>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</si>
  <si>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</si>
  <si>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</si>
  <si>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</si>
  <si>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</si>
  <si>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</si>
  <si>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</si>
  <si>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</si>
  <si>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</si>
  <si>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</si>
  <si>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</si>
  <si>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</si>
  <si>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</si>
  <si>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</si>
  <si>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</si>
  <si>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</si>
  <si>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</si>
  <si>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</si>
  <si>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</si>
  <si>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</si>
  <si>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</si>
  <si>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</si>
  <si>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</si>
  <si>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</si>
  <si>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</si>
  <si>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</si>
  <si>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</si>
  <si>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</si>
  <si>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</si>
  <si>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</si>
  <si>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</si>
  <si>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</si>
  <si>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</si>
  <si>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</si>
  <si>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</si>
  <si>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</si>
  <si>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</si>
  <si>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</si>
  <si>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</si>
  <si>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</si>
  <si>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</si>
  <si>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</si>
  <si>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</si>
  <si>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</si>
  <si>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</si>
  <si>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</si>
  <si>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</si>
  <si>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</si>
  <si>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</si>
  <si>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</si>
  <si>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</si>
  <si>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</si>
  <si>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</si>
  <si>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</si>
  <si>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</si>
  <si>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</si>
  <si>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</si>
  <si>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</si>
  <si>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</si>
  <si>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</si>
  <si>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</si>
  <si>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</si>
  <si>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</si>
  <si>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</si>
  <si>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</si>
  <si>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</si>
  <si>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</si>
  <si>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</si>
  <si>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</si>
  <si>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</si>
  <si>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</si>
  <si>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</si>
  <si>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</si>
  <si>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</si>
  <si>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</si>
  <si>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</si>
  <si>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</si>
  <si>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</si>
  <si>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</si>
  <si>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</si>
  <si>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</si>
  <si>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</si>
  <si>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</si>
  <si>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</si>
  <si>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</si>
  <si>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</si>
  <si>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</si>
  <si>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</si>
  <si>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</si>
  <si>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</si>
  <si>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</si>
  <si>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</si>
  <si>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</si>
  <si>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</si>
  <si>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</si>
  <si>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</si>
  <si>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</si>
  <si>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</si>
  <si>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</si>
  <si>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</si>
  <si>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</si>
  <si>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</si>
  <si>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</si>
  <si>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</si>
  <si>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</si>
  <si>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</si>
  <si>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</si>
  <si>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</si>
  <si>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</si>
  <si>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</si>
  <si>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</si>
  <si>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</si>
  <si>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</si>
  <si>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</si>
  <si>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</si>
  <si>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</si>
  <si>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</si>
  <si>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</si>
  <si>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</si>
  <si>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</si>
  <si>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</si>
  <si>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</si>
  <si>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</si>
  <si>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</si>
  <si>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</si>
  <si>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</si>
  <si>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</si>
  <si>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</si>
  <si>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</si>
  <si>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</si>
  <si>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</si>
  <si>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</si>
  <si>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</si>
  <si>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</si>
  <si>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</si>
  <si>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</si>
  <si>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</si>
  <si>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</si>
  <si>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</si>
  <si>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</si>
  <si>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</si>
  <si>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</si>
  <si>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</si>
  <si>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</si>
  <si>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</si>
  <si>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</si>
  <si>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</si>
  <si>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</si>
  <si>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</si>
  <si>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</si>
  <si>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</si>
  <si>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</si>
  <si>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</si>
  <si>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</si>
  <si>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</si>
  <si>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</si>
  <si>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</si>
  <si>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</si>
  <si>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</si>
  <si>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</si>
  <si>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</si>
  <si>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</si>
  <si>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</si>
  <si>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</si>
  <si>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</si>
  <si>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</si>
  <si>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</si>
  <si>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</si>
  <si>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</si>
  <si>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</si>
  <si>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</si>
  <si>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</si>
  <si>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</si>
  <si>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</si>
  <si>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</si>
  <si>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</si>
  <si>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</si>
  <si>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</si>
  <si>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</si>
  <si>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</si>
  <si>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</si>
  <si>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</si>
  <si>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</si>
  <si>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</si>
  <si>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</si>
  <si>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</si>
  <si>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</si>
  <si>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</si>
  <si>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</si>
  <si>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</si>
  <si>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</si>
  <si>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</si>
  <si>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</si>
  <si>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</si>
  <si>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</si>
  <si>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</si>
  <si>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</si>
  <si>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</si>
  <si>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</si>
  <si>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</si>
  <si>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</si>
  <si>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</si>
  <si>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</si>
  <si>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</si>
  <si>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</si>
  <si>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</si>
  <si>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</si>
  <si>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</si>
  <si>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</si>
  <si>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</si>
  <si>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</si>
  <si>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</si>
  <si>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</si>
  <si>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</si>
  <si>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</si>
  <si>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</si>
  <si>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</si>
  <si>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</si>
  <si>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</si>
  <si>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</si>
  <si>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</si>
  <si>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</si>
  <si>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</si>
  <si>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</si>
  <si>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</si>
  <si>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</si>
  <si>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</si>
  <si>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</si>
  <si>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</si>
  <si>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</si>
  <si>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</si>
  <si>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</si>
  <si>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</si>
  <si>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</si>
  <si>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</si>
  <si>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</si>
  <si>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</si>
  <si>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</si>
  <si>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</si>
  <si>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</si>
  <si>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</si>
  <si>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</si>
  <si>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</si>
  <si>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</si>
  <si>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</si>
  <si>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</si>
  <si>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</si>
  <si>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</si>
  <si>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</si>
  <si>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</si>
  <si>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</si>
  <si>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</si>
  <si>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</si>
  <si>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</si>
  <si>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</si>
  <si>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</si>
  <si>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</si>
  <si>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</si>
  <si>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</si>
  <si>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</si>
  <si>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</si>
  <si>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</si>
  <si>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</si>
  <si>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</si>
  <si>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</si>
  <si>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</si>
  <si>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</si>
  <si>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</si>
  <si>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</si>
  <si>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</si>
  <si>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</si>
  <si>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</si>
  <si>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</si>
  <si>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</si>
  <si>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</si>
  <si>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</si>
  <si>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</si>
  <si>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</si>
  <si>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</si>
  <si>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</si>
  <si>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</si>
  <si>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</si>
  <si>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</si>
  <si>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</si>
  <si>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</si>
  <si>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</si>
  <si>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</si>
  <si>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</si>
  <si>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</si>
  <si>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</si>
  <si>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</si>
  <si>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</si>
  <si>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</si>
  <si>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</si>
  <si>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</si>
  <si>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</si>
  <si>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</si>
  <si>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</si>
  <si>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</si>
  <si>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</si>
  <si>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</si>
  <si>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</si>
  <si>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</si>
  <si>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</si>
  <si>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</si>
  <si>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</si>
  <si>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</si>
  <si>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</si>
  <si>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</si>
  <si>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</si>
  <si>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</si>
  <si>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</si>
  <si>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</si>
  <si>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</si>
  <si>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</si>
  <si>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</si>
  <si>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</si>
  <si>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</si>
  <si>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</si>
  <si>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</si>
  <si>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</si>
  <si>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</si>
  <si>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</si>
  <si>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</si>
  <si>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</si>
  <si>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</si>
  <si>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</si>
  <si>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</si>
  <si>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</si>
  <si>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</si>
  <si>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</si>
  <si>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</si>
  <si>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</si>
  <si>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</si>
  <si>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</si>
  <si>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</si>
  <si>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</si>
  <si>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</si>
  <si>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</si>
  <si>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</si>
  <si>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</si>
  <si>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</si>
  <si>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</si>
  <si>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</si>
  <si>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</si>
  <si>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</si>
  <si>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</si>
  <si>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</si>
  <si>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</si>
  <si>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</si>
  <si>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</si>
  <si>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</si>
  <si>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</si>
  <si>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</si>
  <si>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</si>
  <si>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</si>
  <si>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</si>
  <si>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</si>
  <si>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</si>
  <si>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</si>
  <si>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</si>
  <si>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</si>
  <si>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</si>
  <si>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</si>
  <si>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</si>
  <si>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</si>
  <si>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</si>
  <si>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</si>
  <si>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</si>
  <si>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</si>
  <si>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</si>
  <si>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</si>
  <si>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</si>
  <si>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</si>
  <si>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</si>
  <si>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</si>
  <si>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</si>
  <si>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</si>
  <si>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</si>
  <si>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</si>
  <si>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</si>
  <si>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</si>
  <si>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</si>
  <si>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</si>
  <si>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</si>
  <si>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</si>
  <si>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</si>
  <si>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</si>
  <si>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</si>
  <si>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</si>
  <si>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</si>
  <si>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</si>
  <si>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</si>
  <si>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</si>
  <si>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</si>
  <si>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</si>
  <si>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</si>
  <si>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</si>
  <si>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</si>
  <si>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</si>
  <si>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</si>
  <si>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</si>
  <si>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</si>
  <si>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</si>
  <si>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</si>
  <si>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</si>
  <si>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</si>
  <si>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</si>
  <si>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</si>
  <si>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</si>
  <si>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</si>
  <si>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</si>
  <si>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</si>
  <si>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</si>
  <si>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</si>
  <si>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</si>
  <si>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</si>
  <si>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</si>
  <si>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</si>
  <si>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</si>
  <si>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</si>
  <si>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</si>
  <si>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</si>
  <si>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</si>
  <si>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</si>
  <si>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</si>
  <si>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</si>
  <si>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</si>
  <si>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</si>
  <si>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</si>
  <si>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</si>
  <si>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</si>
  <si>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</si>
  <si>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</si>
  <si>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</si>
  <si>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</si>
  <si>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</si>
  <si>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</si>
  <si>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</si>
  <si>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</si>
  <si>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</si>
  <si>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</si>
  <si>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</si>
  <si>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</si>
  <si>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</si>
  <si>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</si>
  <si>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</si>
  <si>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</si>
  <si>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</si>
  <si>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</si>
  <si>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</si>
  <si>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</si>
  <si>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</si>
  <si>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</si>
  <si>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</si>
  <si>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</si>
  <si>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</si>
  <si>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</si>
  <si>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</si>
  <si>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</si>
  <si>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</si>
  <si>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</si>
  <si>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</si>
  <si>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</si>
  <si>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</si>
  <si>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</si>
  <si>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</si>
  <si>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</si>
  <si>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</si>
  <si>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</si>
  <si>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</si>
  <si>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</si>
  <si>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</si>
  <si>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</si>
  <si>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</si>
  <si>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</si>
  <si>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</si>
  <si>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</si>
  <si>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</si>
  <si>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</si>
  <si>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</si>
  <si>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</si>
  <si>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</si>
  <si>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</si>
  <si>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</si>
  <si>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</si>
  <si>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</si>
  <si>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</si>
  <si>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</si>
  <si>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</si>
  <si>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</si>
  <si>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</si>
  <si>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</si>
  <si>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</si>
  <si>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</si>
  <si>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</si>
  <si>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</si>
  <si>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</si>
  <si>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</si>
  <si>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</si>
  <si>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</si>
  <si>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</si>
  <si>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</si>
  <si>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</si>
  <si>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</si>
  <si>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</si>
  <si>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</si>
  <si>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</si>
  <si>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</si>
  <si>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</si>
  <si>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</si>
  <si>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</si>
  <si>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</si>
  <si>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</si>
  <si>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</si>
  <si>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</si>
  <si>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</si>
  <si>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</si>
  <si>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</si>
  <si>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</si>
  <si>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</si>
  <si>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</si>
  <si>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</si>
  <si>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</si>
  <si>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</si>
  <si>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</si>
  <si>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</si>
  <si>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</si>
  <si>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</si>
  <si>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</si>
  <si>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</si>
  <si>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</si>
  <si>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</si>
  <si>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</si>
  <si>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</si>
  <si>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</si>
  <si>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</si>
  <si>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</si>
  <si>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</si>
  <si>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</si>
  <si>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</si>
  <si>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</si>
  <si>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</si>
  <si>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</si>
  <si>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</si>
  <si>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</si>
  <si>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</si>
  <si>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</si>
  <si>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</si>
  <si>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</si>
  <si>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</si>
  <si>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</si>
  <si>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</si>
  <si>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</si>
  <si>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</si>
  <si>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</si>
  <si>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</si>
  <si>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</si>
  <si>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</si>
  <si>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</si>
  <si>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</si>
  <si>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</si>
  <si>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</si>
  <si>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</si>
  <si>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</si>
  <si>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</si>
  <si>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</si>
  <si>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</si>
  <si>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</si>
  <si>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</si>
  <si>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</si>
  <si>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</si>
  <si>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</si>
  <si>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</si>
  <si>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</si>
  <si>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</si>
  <si>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</si>
  <si>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</si>
  <si>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</si>
  <si>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</si>
  <si>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</si>
  <si>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</si>
  <si>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</si>
  <si>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</si>
  <si>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</si>
  <si>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</si>
  <si>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</si>
  <si>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</si>
  <si>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</si>
  <si>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</si>
  <si>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</si>
  <si>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</si>
  <si>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</si>
  <si>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</si>
  <si>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</si>
  <si>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</si>
  <si>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</si>
  <si>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</si>
  <si>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</si>
  <si>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</si>
  <si>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</si>
  <si>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</si>
  <si>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</si>
  <si>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</si>
  <si>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</si>
  <si>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</si>
  <si>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</si>
  <si>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</si>
  <si>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</si>
  <si>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</si>
  <si>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</si>
  <si>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</si>
  <si>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</si>
  <si>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</si>
  <si>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</si>
  <si>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</si>
  <si>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</si>
  <si>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</si>
  <si>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</si>
  <si>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</si>
  <si>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</si>
  <si>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</si>
  <si>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</si>
  <si>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</si>
  <si>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</si>
  <si>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</si>
  <si>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</si>
  <si>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</si>
  <si>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</si>
  <si>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</si>
  <si>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</si>
  <si>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</si>
  <si>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</si>
  <si>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</si>
  <si>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</si>
  <si>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</si>
  <si>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</si>
  <si>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</si>
  <si>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</si>
  <si>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</si>
  <si>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</si>
  <si>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</si>
  <si>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</si>
  <si>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</si>
  <si>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</si>
  <si>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</si>
  <si>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</si>
  <si>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</si>
  <si>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</si>
  <si>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</si>
  <si>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</si>
  <si>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</si>
  <si>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</si>
  <si>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</si>
  <si>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</si>
  <si>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</si>
  <si>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</si>
  <si>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</si>
  <si>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</si>
  <si>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</si>
  <si>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</si>
  <si>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</si>
  <si>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</si>
  <si>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</si>
  <si>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</si>
  <si>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</si>
  <si>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</si>
  <si>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</si>
  <si>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</si>
  <si>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</si>
  <si>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</si>
  <si>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</si>
  <si>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</si>
  <si>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</si>
  <si>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</si>
  <si>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</si>
  <si>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</si>
  <si>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</si>
  <si>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</si>
  <si>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</si>
  <si>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</si>
  <si>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</si>
  <si>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</si>
  <si>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</si>
  <si>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</si>
  <si>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</si>
  <si>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</si>
  <si>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</si>
  <si>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</si>
  <si>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</si>
  <si>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</si>
  <si>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</si>
  <si>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</si>
  <si>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</si>
  <si>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</si>
  <si>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</si>
  <si>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</si>
  <si>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</si>
  <si>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</si>
  <si>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</si>
  <si>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</si>
  <si>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</si>
  <si>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</si>
  <si>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</si>
  <si>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</si>
  <si>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</si>
  <si>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</si>
  <si>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</si>
  <si>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</si>
  <si>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</si>
  <si>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</si>
  <si>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</si>
  <si>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</si>
  <si>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</si>
  <si>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</si>
  <si>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</si>
  <si>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</si>
  <si>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</si>
  <si>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</si>
  <si>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</si>
  <si>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</si>
  <si>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</si>
  <si>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</si>
  <si>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</si>
  <si>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</si>
  <si>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</si>
  <si>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</si>
  <si>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</si>
  <si>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</si>
  <si>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</si>
  <si>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</si>
  <si>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</si>
  <si>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</si>
  <si>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</si>
  <si>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</si>
  <si>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</si>
  <si>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</si>
  <si>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</si>
  <si>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</si>
  <si>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</si>
  <si>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</si>
  <si>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</si>
  <si>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</si>
  <si>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</si>
  <si>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</si>
  <si>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</si>
  <si>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</si>
  <si>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</si>
  <si>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</si>
  <si>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</si>
  <si>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</si>
  <si>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</si>
  <si>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</si>
  <si>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</si>
  <si>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</si>
  <si>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</si>
  <si>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</si>
  <si>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</si>
  <si>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</si>
  <si>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</si>
  <si>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</si>
  <si>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</si>
  <si>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</si>
  <si>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</si>
  <si>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</si>
  <si>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</si>
  <si>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</si>
  <si>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</si>
  <si>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</si>
  <si>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</si>
  <si>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</si>
  <si>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</si>
  <si>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</si>
  <si>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</si>
  <si>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</si>
  <si>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</si>
  <si>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</si>
  <si>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</si>
  <si>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</si>
  <si>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</si>
  <si>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</si>
  <si>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</si>
  <si>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</si>
  <si>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</si>
  <si>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</si>
  <si>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</si>
  <si>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</si>
  <si>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</si>
  <si>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</si>
  <si>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</si>
  <si>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</si>
  <si>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</si>
  <si>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</si>
  <si>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</si>
  <si>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</si>
  <si>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</si>
  <si>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</si>
  <si>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</si>
  <si>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</si>
  <si>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</si>
  <si>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</si>
  <si>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</si>
  <si>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</si>
  <si>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</si>
  <si>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</si>
  <si>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</si>
  <si>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</si>
  <si>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</si>
  <si>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</si>
  <si>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</si>
  <si>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</si>
  <si>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</si>
  <si>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</si>
  <si>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</si>
  <si>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</si>
  <si>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</si>
  <si>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</si>
  <si>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</si>
  <si>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</si>
  <si>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</si>
  <si>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</si>
  <si>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</si>
  <si>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</si>
  <si>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</si>
  <si>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</si>
  <si>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</si>
  <si>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</si>
  <si>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</si>
  <si>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</si>
  <si>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</si>
  <si>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</si>
  <si>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</si>
  <si>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</si>
  <si>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</si>
  <si>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</si>
  <si>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</si>
  <si>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</si>
  <si>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</si>
  <si>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</si>
  <si>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</si>
  <si>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</si>
  <si>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</si>
  <si>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</si>
  <si>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</si>
  <si>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</si>
  <si>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</si>
  <si>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</si>
  <si>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</si>
  <si>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</si>
  <si>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</si>
  <si>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</si>
  <si>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</si>
  <si>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</si>
  <si>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</si>
  <si>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</si>
  <si>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</si>
  <si>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</si>
  <si>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</si>
  <si>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</si>
  <si>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</si>
  <si>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</si>
  <si>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</si>
  <si>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</si>
  <si>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</si>
  <si>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</si>
  <si>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</si>
  <si>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</si>
  <si>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</si>
  <si>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</si>
  <si>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</si>
  <si>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</si>
  <si>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</si>
  <si>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</si>
  <si>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</si>
  <si>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</si>
  <si>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</si>
  <si>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</si>
  <si>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</si>
  <si>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</si>
  <si>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</si>
  <si>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</si>
  <si>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</si>
  <si>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</si>
  <si>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</si>
  <si>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</si>
  <si>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</si>
  <si>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</si>
  <si>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</si>
  <si>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</si>
  <si>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</si>
  <si>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</si>
  <si>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</si>
  <si>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</si>
  <si>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</si>
  <si>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</si>
  <si>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</si>
  <si>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</si>
  <si>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</si>
  <si>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</si>
  <si>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</si>
  <si>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</si>
  <si>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</si>
  <si>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</si>
  <si>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</si>
  <si>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</si>
  <si>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</si>
  <si>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</si>
  <si>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</si>
  <si>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</si>
  <si>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</si>
  <si>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</si>
  <si>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</si>
  <si>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</si>
  <si>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</si>
  <si>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</si>
  <si>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</si>
  <si>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</si>
  <si>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</si>
  <si>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</si>
  <si>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</si>
  <si>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</si>
  <si>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</si>
  <si>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</si>
  <si>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</si>
  <si>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</si>
  <si>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</si>
  <si>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</si>
  <si>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</si>
  <si>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</si>
  <si>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</si>
  <si>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</si>
  <si>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</si>
  <si>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</si>
  <si>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</si>
  <si>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</si>
  <si>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</si>
  <si>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</si>
  <si>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</si>
  <si>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</si>
  <si>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</si>
  <si>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</si>
  <si>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</si>
  <si>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</si>
  <si>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</si>
  <si>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</si>
  <si>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</si>
  <si>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</si>
  <si>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</si>
  <si>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</si>
  <si>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</si>
  <si>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</si>
  <si>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</si>
  <si>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</si>
  <si>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</si>
  <si>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</si>
  <si>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</si>
  <si>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</si>
  <si>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</si>
  <si>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</si>
  <si>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</si>
  <si>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</si>
  <si>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</si>
  <si>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</si>
  <si>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</si>
  <si>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</si>
  <si>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</si>
  <si>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</si>
  <si>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</si>
  <si>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</si>
  <si>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</si>
  <si>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</si>
  <si>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</si>
  <si>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</si>
  <si>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</si>
  <si>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</si>
  <si>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</si>
  <si>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</si>
  <si>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</si>
  <si>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</si>
  <si>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</si>
  <si>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</si>
  <si>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</si>
  <si>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</si>
  <si>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</si>
  <si>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</si>
  <si>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</si>
  <si>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</si>
  <si>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</si>
  <si>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</si>
  <si>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</si>
  <si>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</si>
  <si>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</si>
  <si>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</si>
  <si>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</si>
  <si>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</si>
  <si>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</si>
  <si>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</si>
  <si>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</si>
  <si>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</si>
  <si>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</si>
  <si>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</si>
  <si>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</si>
  <si>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</si>
  <si>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</si>
  <si>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</si>
  <si>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</si>
  <si>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</si>
  <si>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</si>
  <si>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</si>
  <si>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</si>
  <si>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</si>
  <si>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</si>
  <si>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</si>
  <si>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</si>
  <si>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</si>
  <si>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</si>
  <si>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</si>
  <si>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</si>
  <si>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</si>
  <si>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</si>
  <si>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</si>
  <si>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</si>
  <si>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</si>
  <si>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</si>
  <si>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</si>
  <si>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</si>
  <si>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</si>
  <si>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</si>
  <si>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</si>
  <si>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</si>
  <si>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</si>
  <si>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</si>
  <si>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</si>
  <si>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</si>
  <si>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</si>
  <si>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</si>
  <si>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</si>
  <si>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</si>
  <si>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</si>
  <si>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</si>
  <si>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</si>
  <si>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</si>
  <si>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</si>
  <si>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</si>
  <si>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</si>
  <si>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</si>
  <si>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</si>
  <si>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</si>
  <si>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</si>
  <si>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</si>
  <si>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</si>
  <si>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</si>
  <si>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</si>
  <si>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</si>
  <si>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</si>
  <si>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</si>
  <si>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</si>
  <si>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</si>
  <si>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</si>
  <si>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</si>
  <si>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</si>
  <si>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</si>
  <si>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</si>
  <si>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</si>
  <si>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</si>
  <si>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</si>
  <si>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</si>
  <si>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</si>
  <si>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</si>
  <si>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</si>
  <si>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</si>
  <si>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</si>
  <si>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</si>
  <si>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</si>
  <si>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</si>
  <si>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</si>
  <si>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</si>
  <si>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</si>
  <si>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</si>
  <si>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</si>
  <si>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</si>
  <si>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</si>
  <si>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</si>
  <si>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</si>
  <si>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</si>
  <si>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</si>
  <si>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</si>
  <si>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</si>
  <si>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</si>
  <si>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</si>
  <si>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</si>
  <si>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</si>
  <si>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</si>
  <si>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</si>
  <si>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</si>
  <si>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</si>
  <si>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</si>
  <si>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</si>
  <si>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</si>
  <si>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</si>
  <si>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</si>
  <si>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</si>
  <si>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</si>
  <si>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</si>
  <si>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</si>
  <si>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</si>
  <si>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</si>
  <si>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</si>
  <si>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</si>
  <si>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</si>
  <si>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</si>
  <si>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</si>
  <si>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</si>
  <si>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</si>
  <si>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</si>
  <si>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</si>
  <si>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</si>
  <si>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</si>
  <si>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</si>
  <si>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</si>
  <si>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</si>
  <si>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</si>
  <si>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</si>
  <si>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</si>
  <si>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</si>
  <si>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</si>
  <si>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</si>
  <si>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</si>
  <si>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</si>
  <si>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</si>
  <si>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</si>
  <si>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</si>
  <si>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</si>
  <si>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</si>
  <si>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</si>
  <si>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</si>
  <si>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</si>
  <si>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</si>
  <si>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</si>
  <si>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</si>
  <si>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</si>
  <si>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</si>
  <si>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</si>
  <si>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</si>
  <si>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</si>
  <si>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</si>
  <si>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</si>
  <si>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</si>
  <si>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</si>
  <si>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</si>
  <si>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</si>
  <si>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</si>
  <si>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</si>
  <si>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</si>
  <si>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</si>
  <si>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</si>
  <si>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</si>
  <si>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</si>
  <si>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</si>
  <si>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</si>
  <si>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</si>
  <si>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</si>
  <si>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</si>
  <si>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</si>
  <si>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</si>
  <si>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</si>
  <si>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</si>
  <si>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</si>
  <si>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</si>
  <si>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</si>
  <si>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</si>
  <si>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</si>
  <si>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</si>
  <si>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</si>
  <si>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</si>
  <si>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</si>
  <si>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</si>
  <si>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</si>
  <si>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</si>
  <si>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</si>
  <si>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</si>
  <si>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</si>
  <si>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</si>
  <si>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</si>
  <si>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</si>
  <si>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</si>
  <si>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</si>
  <si>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</si>
  <si>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</si>
  <si>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</si>
  <si>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</si>
  <si>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</si>
  <si>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</si>
  <si>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</si>
  <si>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</si>
  <si>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</si>
  <si>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</si>
  <si>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</si>
  <si>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</si>
  <si>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</si>
  <si>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</si>
  <si>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</si>
  <si>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</si>
  <si>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</si>
  <si>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</si>
  <si>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</si>
  <si>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</si>
  <si>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</si>
  <si>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</si>
  <si>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</si>
  <si>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</si>
  <si>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</si>
  <si>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</si>
  <si>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</si>
  <si>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</si>
  <si>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</si>
  <si>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</si>
  <si>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</si>
  <si>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</si>
  <si>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</si>
  <si>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</si>
  <si>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</si>
  <si>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</si>
  <si>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</si>
  <si>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</si>
  <si>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</si>
  <si>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</si>
  <si>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</si>
  <si>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</si>
  <si>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</si>
  <si>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</si>
  <si>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</si>
  <si>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</si>
  <si>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</si>
  <si>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</si>
  <si>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</si>
  <si>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</si>
  <si>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</si>
  <si>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</si>
  <si>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</si>
  <si>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</si>
  <si>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</si>
  <si>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</si>
  <si>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</si>
  <si>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</si>
  <si>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</si>
  <si>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</si>
  <si>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</si>
  <si>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</si>
  <si>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</si>
  <si>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</si>
  <si>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</si>
  <si>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</si>
  <si>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</si>
  <si>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</si>
  <si>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</si>
  <si>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</si>
  <si>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</si>
  <si>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</si>
  <si>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</si>
  <si>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</si>
  <si>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</si>
  <si>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</si>
  <si>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</si>
  <si>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</si>
  <si>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</si>
  <si>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</si>
  <si>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</si>
  <si>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</si>
  <si>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</si>
  <si>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</si>
  <si>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</si>
  <si>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</si>
  <si>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</si>
  <si>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</si>
  <si>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</si>
  <si>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</si>
  <si>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</si>
  <si>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</si>
  <si>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</si>
  <si>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</si>
  <si>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</si>
  <si>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</si>
  <si>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</si>
  <si>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</si>
  <si>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</si>
  <si>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</si>
  <si>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</si>
  <si>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</si>
  <si>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</si>
  <si>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</si>
  <si>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</si>
  <si>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</si>
  <si>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</si>
  <si>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</si>
  <si>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</si>
  <si>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</si>
  <si>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</si>
  <si>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</si>
  <si>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</si>
  <si>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</si>
  <si>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</si>
  <si>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</si>
  <si>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</si>
  <si>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</si>
  <si>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</si>
  <si>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</si>
  <si>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</si>
  <si>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</si>
  <si>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</si>
  <si>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</si>
  <si>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</si>
  <si>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</si>
  <si>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</si>
  <si>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</si>
  <si>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</si>
  <si>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</si>
  <si>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</si>
  <si>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</si>
  <si>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</si>
  <si>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</si>
  <si>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</si>
  <si>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</si>
  <si>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</si>
  <si>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</si>
  <si>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</si>
  <si>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</si>
  <si>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</si>
  <si>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</si>
  <si>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</si>
  <si>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</si>
  <si>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</si>
  <si>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</si>
  <si>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</si>
  <si>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</si>
  <si>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</si>
  <si>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</si>
  <si>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</si>
  <si>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</si>
  <si>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</si>
  <si>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</si>
  <si>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</si>
  <si>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</si>
  <si>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</si>
  <si>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</si>
  <si>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</si>
  <si>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</si>
  <si>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</si>
  <si>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</si>
  <si>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</si>
  <si>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</si>
  <si>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</si>
  <si>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</si>
  <si>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</si>
  <si>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</si>
  <si>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</si>
  <si>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</si>
  <si>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</si>
  <si>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</si>
  <si>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</si>
  <si>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</si>
  <si>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</si>
  <si>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</si>
  <si>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</si>
  <si>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</si>
  <si>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</si>
  <si>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</si>
  <si>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</si>
  <si>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</si>
  <si>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</si>
  <si>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</si>
  <si>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</si>
  <si>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</si>
  <si>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</si>
  <si>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</si>
  <si>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</si>
  <si>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</si>
  <si>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</si>
  <si>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</si>
  <si>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</si>
  <si>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</si>
  <si>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</si>
  <si>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</si>
  <si>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</si>
  <si>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</si>
  <si>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</si>
  <si>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</si>
  <si>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</si>
  <si>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</si>
  <si>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</si>
  <si>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</si>
  <si>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</si>
  <si>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</si>
  <si>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</si>
  <si>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</si>
  <si>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</si>
  <si>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</si>
  <si>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</si>
  <si>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</si>
  <si>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</si>
  <si>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</si>
  <si>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</si>
  <si>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</si>
  <si>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</si>
  <si>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</si>
  <si>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</si>
  <si>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</si>
  <si>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</si>
  <si>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</si>
  <si>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</si>
  <si>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</si>
  <si>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</si>
  <si>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</si>
  <si>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</si>
  <si>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</si>
  <si>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</si>
  <si>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</si>
  <si>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</si>
  <si>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</si>
  <si>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</si>
  <si>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</si>
  <si>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</si>
  <si>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</si>
  <si>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</si>
  <si>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</si>
  <si>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</si>
  <si>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</si>
  <si>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</si>
  <si>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</si>
  <si>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</si>
  <si>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</si>
  <si>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</si>
  <si>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</si>
  <si>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</si>
  <si>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</si>
  <si>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</si>
  <si>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</si>
  <si>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</si>
  <si>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</si>
  <si>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</si>
  <si>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</si>
  <si>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</si>
  <si>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</si>
  <si>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</si>
  <si>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</si>
  <si>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</si>
  <si>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</si>
  <si>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</si>
  <si>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</si>
  <si>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</si>
  <si>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</si>
  <si>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</si>
  <si>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</si>
  <si>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</si>
  <si>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</si>
  <si>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</si>
  <si>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</si>
  <si>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</si>
  <si>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</si>
  <si>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</si>
  <si>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</si>
  <si>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</si>
  <si>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</si>
  <si>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</si>
  <si>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</si>
  <si>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</si>
  <si>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</si>
  <si>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</si>
  <si>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</si>
  <si>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</si>
  <si>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</si>
  <si>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</si>
  <si>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</si>
  <si>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</si>
  <si>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</si>
  <si>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</si>
  <si>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</si>
  <si>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</si>
  <si>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</si>
  <si>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</si>
  <si>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</si>
  <si>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</si>
  <si>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</si>
  <si>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</si>
  <si>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</si>
  <si>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</si>
  <si>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</si>
  <si>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</si>
  <si>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</si>
  <si>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</si>
  <si>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</si>
  <si>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</si>
  <si>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</si>
  <si>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</si>
  <si>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</si>
  <si>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</si>
  <si>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</si>
  <si>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</si>
  <si>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</si>
  <si>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</si>
  <si>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</si>
  <si>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</si>
  <si>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</si>
  <si>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</si>
  <si>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</si>
  <si>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</si>
  <si>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</si>
  <si>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</si>
  <si>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</si>
  <si>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</si>
  <si>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</si>
  <si>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</si>
  <si>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</si>
  <si>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</si>
  <si>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</si>
  <si>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</si>
  <si>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</si>
  <si>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</si>
  <si>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</si>
  <si>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</si>
  <si>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</si>
  <si>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</si>
  <si>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</si>
  <si>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</si>
  <si>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</si>
  <si>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</si>
  <si>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</si>
  <si>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</si>
  <si>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</si>
  <si>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</si>
  <si>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</si>
  <si>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</si>
  <si>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</si>
  <si>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</si>
  <si>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</si>
  <si>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</si>
  <si>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</si>
  <si>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</si>
  <si>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</si>
  <si>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</si>
  <si>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</si>
  <si>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</si>
  <si>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</si>
  <si>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</si>
  <si>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</si>
  <si>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</si>
  <si>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</si>
  <si>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</si>
  <si>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</si>
  <si>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</si>
  <si>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</si>
  <si>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</si>
  <si>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</si>
  <si>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</si>
  <si>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</si>
  <si>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</si>
  <si>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</si>
  <si>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</si>
  <si>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</si>
  <si>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</si>
  <si>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</si>
  <si>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</si>
  <si>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</si>
  <si>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</si>
  <si>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</si>
  <si>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</si>
  <si>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</si>
  <si>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</si>
  <si>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</si>
  <si>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</si>
  <si>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</si>
  <si>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</si>
  <si>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</si>
  <si>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</si>
  <si>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</si>
  <si>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</si>
  <si>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</si>
  <si>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</si>
  <si>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</si>
  <si>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</si>
  <si>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</si>
  <si>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</si>
  <si>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</si>
  <si>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</si>
  <si>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</si>
  <si>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</si>
  <si>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</si>
  <si>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</si>
  <si>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</si>
  <si>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</si>
  <si>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</si>
  <si>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</si>
  <si>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</si>
  <si>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</si>
  <si>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</si>
  <si>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</si>
  <si>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</si>
  <si>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</si>
  <si>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</si>
  <si>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</si>
  <si>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</si>
  <si>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</si>
  <si>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</si>
  <si>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</si>
  <si>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</si>
  <si>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</si>
  <si>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</si>
  <si>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</si>
  <si>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</si>
  <si>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</si>
  <si>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</si>
  <si>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</si>
  <si>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</si>
  <si>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</si>
  <si>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</si>
  <si>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</si>
  <si>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</si>
  <si>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</si>
  <si>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</si>
  <si>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</si>
  <si>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</si>
  <si>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</si>
  <si>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</si>
  <si>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</si>
  <si>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</si>
  <si>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</si>
  <si>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</si>
  <si>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</si>
  <si>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</si>
  <si>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</si>
  <si>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</si>
  <si>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</si>
  <si>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</si>
  <si>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</si>
  <si>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</si>
  <si>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</si>
  <si>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</si>
  <si>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</si>
  <si>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</si>
  <si>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</si>
  <si>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</si>
  <si>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</si>
  <si>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</si>
  <si>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</si>
  <si>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</si>
  <si>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</si>
  <si>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</si>
  <si>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</si>
  <si>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</si>
  <si>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</si>
  <si>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</si>
  <si>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</si>
  <si>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</si>
  <si>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</si>
  <si>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</si>
  <si>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</si>
  <si>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</si>
  <si>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</si>
  <si>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</si>
  <si>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</si>
  <si>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</si>
  <si>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</si>
  <si>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</si>
  <si>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</si>
  <si>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</si>
  <si>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</si>
  <si>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</si>
  <si>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</si>
  <si>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</si>
  <si>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</si>
  <si>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</si>
  <si>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</si>
  <si>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</si>
  <si>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</si>
  <si>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</si>
  <si>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</si>
  <si>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</si>
  <si>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</si>
  <si>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</si>
  <si>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</si>
  <si>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</si>
  <si>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</si>
  <si>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</si>
  <si>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</si>
  <si>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</si>
  <si>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</si>
  <si>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</si>
  <si>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</si>
  <si>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</si>
  <si>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</si>
  <si>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</si>
  <si>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</si>
  <si>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</si>
  <si>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</si>
  <si>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</si>
  <si>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</si>
  <si>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</si>
  <si>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</si>
  <si>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</si>
  <si>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</si>
  <si>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</si>
  <si>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</si>
  <si>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</si>
  <si>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</si>
  <si>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</si>
  <si>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</si>
  <si>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</si>
  <si>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</si>
  <si>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</si>
  <si>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</si>
  <si>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</si>
  <si>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</si>
  <si>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</si>
  <si>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</si>
  <si>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</si>
  <si>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</si>
  <si>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</si>
  <si>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</si>
  <si>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</si>
  <si>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</si>
  <si>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</si>
  <si>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</si>
  <si>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</si>
  <si>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</si>
  <si>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</si>
  <si>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</si>
  <si>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</si>
  <si>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</si>
  <si>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</si>
  <si>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</si>
  <si>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</si>
  <si>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</si>
  <si>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</si>
  <si>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</si>
  <si>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</si>
  <si>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</si>
  <si>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</si>
  <si>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</si>
  <si>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</si>
  <si>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</si>
  <si>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</si>
  <si>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</si>
  <si>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</si>
  <si>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</si>
  <si>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</si>
  <si>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</si>
  <si>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</si>
  <si>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</si>
  <si>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</si>
  <si>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</si>
  <si>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</si>
  <si>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</si>
  <si>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</si>
  <si>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</si>
  <si>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</si>
  <si>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</si>
  <si>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</si>
  <si>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</si>
  <si>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</si>
  <si>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</si>
  <si>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</si>
  <si>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</si>
  <si>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</si>
  <si>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</si>
  <si>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</si>
  <si>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</si>
  <si>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</si>
  <si>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</si>
  <si>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</si>
  <si>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</si>
  <si>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</si>
  <si>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</si>
  <si>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</si>
  <si>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</si>
  <si>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</si>
  <si>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</si>
  <si>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</si>
  <si>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</si>
  <si>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</si>
  <si>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</si>
  <si>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</si>
  <si>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</si>
  <si>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</si>
  <si>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</si>
  <si>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</si>
  <si>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</si>
  <si>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</si>
  <si>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</si>
  <si>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</si>
  <si>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</si>
  <si>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</si>
  <si>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</si>
  <si>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</si>
  <si>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</si>
  <si>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</si>
  <si>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</si>
  <si>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</si>
  <si>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</si>
  <si>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</si>
  <si>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</si>
  <si>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</si>
  <si>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</si>
  <si>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</si>
  <si>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</si>
  <si>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</si>
  <si>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</si>
  <si>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</si>
  <si>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</si>
  <si>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</si>
  <si>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</si>
  <si>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</si>
  <si>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</si>
  <si>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</si>
  <si>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</si>
  <si>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</si>
  <si>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</si>
  <si>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</si>
  <si>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</si>
  <si>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</si>
  <si>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</si>
  <si>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</si>
  <si>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</si>
  <si>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</si>
  <si>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</si>
  <si>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</si>
  <si>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</si>
  <si>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</si>
  <si>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</si>
  <si>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</si>
  <si>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</si>
  <si>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</si>
  <si>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</si>
  <si>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</si>
  <si>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</si>
  <si>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</si>
  <si>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</si>
  <si>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</si>
  <si>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</si>
  <si>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</si>
  <si>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</si>
  <si>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</si>
  <si>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</si>
  <si>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</si>
  <si>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</si>
  <si>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</si>
  <si>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</si>
  <si>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</si>
  <si>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</si>
  <si>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</si>
  <si>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</si>
  <si>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</si>
  <si>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</si>
  <si>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</si>
  <si>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</si>
  <si>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</si>
  <si>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</si>
  <si>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</si>
  <si>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</si>
  <si>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</si>
  <si>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</si>
  <si>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</si>
  <si>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</si>
  <si>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</si>
  <si>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</si>
  <si>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</si>
  <si>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</si>
  <si>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</si>
  <si>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</si>
  <si>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</si>
  <si>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</si>
  <si>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</si>
  <si>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</si>
  <si>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</si>
  <si>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</si>
  <si>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</si>
  <si>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</si>
  <si>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</si>
  <si>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</si>
  <si>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</si>
  <si>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</si>
  <si>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</si>
  <si>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</si>
  <si>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</si>
  <si>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</si>
  <si>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</si>
  <si>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</si>
  <si>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</si>
  <si>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</si>
  <si>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</si>
  <si>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</si>
  <si>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</si>
  <si>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</si>
  <si>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</si>
  <si>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</si>
  <si>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</si>
  <si>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</si>
  <si>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</si>
  <si>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</si>
  <si>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</si>
  <si>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</si>
  <si>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</si>
  <si>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</si>
  <si>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</si>
  <si>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</si>
  <si>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</si>
  <si>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</si>
  <si>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</si>
  <si>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</si>
  <si>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</si>
  <si>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</si>
  <si>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</si>
  <si>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</si>
  <si>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</si>
  <si>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</si>
  <si>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</si>
  <si>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</si>
  <si>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</si>
  <si>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</si>
  <si>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</si>
  <si>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</si>
  <si>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</si>
  <si>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</si>
  <si>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</si>
  <si>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</si>
  <si>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</si>
  <si>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</si>
  <si>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</si>
  <si>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</si>
  <si>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</si>
  <si>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</si>
  <si>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</si>
  <si>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</si>
  <si>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</si>
  <si>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</si>
  <si>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</si>
  <si>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</si>
  <si>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</si>
  <si>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</si>
  <si>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</si>
  <si>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</si>
  <si>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</si>
  <si>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</si>
  <si>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</si>
  <si>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</si>
  <si>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</si>
  <si>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</si>
  <si>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</si>
  <si>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</si>
  <si>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</si>
  <si>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</si>
  <si>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</si>
  <si>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</si>
  <si>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</si>
  <si>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</si>
  <si>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</si>
  <si>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</si>
  <si>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</si>
  <si>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</si>
  <si>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</si>
  <si>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</si>
  <si>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</si>
  <si>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</si>
  <si>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</si>
  <si>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</si>
  <si>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</si>
  <si>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</si>
  <si>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</si>
  <si>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</si>
  <si>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</si>
  <si>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</si>
  <si>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</si>
  <si>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</si>
  <si>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</si>
  <si>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</si>
  <si>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</si>
  <si>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</si>
  <si>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</si>
  <si>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</si>
  <si>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</si>
  <si>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</si>
  <si>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</si>
  <si>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</si>
  <si>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</si>
  <si>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</si>
  <si>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</si>
  <si>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</si>
  <si>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</si>
  <si>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</si>
  <si>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</si>
  <si>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</si>
  <si>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</si>
  <si>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</si>
  <si>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</si>
  <si>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</si>
  <si>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</si>
  <si>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</si>
  <si>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</si>
  <si>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</si>
  <si>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</si>
  <si>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</si>
  <si>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</si>
  <si>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</si>
  <si>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</si>
  <si>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</si>
  <si>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</si>
  <si>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</si>
  <si>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</si>
  <si>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</si>
  <si>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</si>
  <si>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</si>
  <si>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</si>
  <si>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</si>
  <si>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</si>
  <si>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</si>
  <si>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</si>
  <si>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</si>
  <si>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</si>
  <si>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</si>
  <si>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</si>
  <si>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</si>
  <si>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</si>
  <si>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</si>
  <si>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</si>
  <si>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</si>
  <si>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</si>
  <si>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</si>
  <si>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</si>
  <si>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</si>
  <si>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</si>
  <si>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</si>
  <si>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</si>
  <si>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</si>
  <si>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</si>
  <si>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</si>
  <si>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</si>
  <si>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</si>
  <si>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</si>
  <si>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</si>
  <si>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</si>
  <si>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</si>
  <si>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</si>
  <si>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</si>
  <si>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</si>
  <si>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</si>
  <si>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</si>
  <si>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</si>
  <si>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</si>
  <si>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</si>
  <si>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</si>
  <si>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</si>
  <si>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</si>
  <si>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</si>
  <si>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</si>
  <si>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</si>
  <si>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</si>
  <si>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</si>
  <si>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</si>
  <si>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</si>
  <si>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</si>
  <si>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</si>
  <si>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</si>
  <si>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</si>
  <si>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</si>
  <si>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</si>
  <si>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</si>
  <si>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</si>
  <si>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</si>
  <si>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</si>
  <si>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</si>
  <si>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</si>
  <si>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</si>
  <si>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</si>
  <si>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</si>
  <si>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</si>
  <si>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</si>
  <si>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</si>
  <si>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</si>
  <si>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</si>
  <si>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</si>
  <si>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</si>
  <si>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</si>
  <si>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</si>
  <si>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</si>
  <si>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</si>
  <si>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</si>
  <si>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</si>
  <si>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</si>
  <si>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</si>
  <si>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</si>
  <si>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</si>
  <si>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</si>
  <si>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</si>
  <si>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</si>
  <si>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</si>
  <si>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</si>
  <si>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</si>
  <si>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</si>
  <si>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</si>
  <si>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</si>
  <si>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</si>
  <si>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</si>
  <si>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</si>
  <si>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</si>
  <si>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</si>
  <si>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</si>
  <si>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</si>
  <si>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</si>
  <si>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</si>
  <si>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</si>
  <si>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</si>
  <si>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</si>
  <si>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</si>
  <si>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</si>
  <si>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</si>
  <si>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</si>
  <si>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</si>
  <si>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</si>
  <si>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</si>
  <si>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</si>
  <si>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</si>
  <si>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</si>
  <si>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</si>
  <si>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</si>
  <si>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</si>
  <si>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</si>
  <si>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</si>
  <si>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</si>
  <si>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</si>
  <si>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</si>
  <si>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</si>
  <si>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</si>
  <si>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</si>
  <si>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</si>
  <si>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</si>
  <si>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</si>
  <si>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</si>
  <si>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</si>
  <si>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</si>
  <si>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</si>
  <si>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</si>
  <si>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</si>
  <si>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</si>
  <si>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</si>
  <si>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</si>
  <si>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</si>
  <si>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</si>
  <si>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</si>
  <si>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</si>
  <si>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</si>
  <si>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</si>
  <si>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</si>
  <si>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</si>
  <si>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</si>
  <si>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</si>
  <si>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</si>
  <si>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</si>
  <si>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</si>
  <si>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</si>
  <si>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</si>
  <si>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</si>
  <si>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</si>
  <si>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</si>
  <si>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</si>
  <si>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</si>
  <si>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</si>
  <si>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</si>
  <si>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</si>
  <si>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</si>
  <si>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</si>
  <si>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</si>
  <si>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</si>
  <si>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</si>
  <si>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</si>
  <si>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</si>
  <si>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</si>
  <si>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</si>
  <si>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</si>
  <si>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</si>
  <si>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</si>
  <si>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</si>
  <si>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</si>
  <si>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</si>
  <si>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</si>
  <si>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</si>
  <si>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</si>
  <si>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</si>
  <si>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</si>
  <si>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</si>
  <si>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</si>
  <si>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</si>
  <si>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</si>
  <si>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</si>
  <si>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</si>
  <si>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</si>
  <si>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</si>
  <si>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</si>
  <si>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</si>
  <si>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</si>
  <si>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</si>
  <si>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</si>
  <si>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</si>
  <si>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</si>
  <si>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</si>
  <si>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</si>
  <si>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</si>
  <si>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</si>
  <si>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</si>
  <si>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</si>
  <si>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</si>
  <si>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</si>
  <si>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</si>
  <si>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</si>
  <si>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</si>
  <si>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</si>
  <si>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</si>
  <si>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</si>
  <si>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</si>
  <si>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</si>
  <si>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</si>
  <si>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</si>
  <si>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</si>
  <si>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</si>
  <si>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</si>
  <si>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</si>
  <si>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</si>
  <si>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</si>
  <si>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</si>
  <si>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</si>
  <si>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</si>
  <si>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</si>
  <si>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</si>
  <si>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</si>
  <si>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</si>
  <si>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</si>
  <si>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</si>
  <si>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</si>
  <si>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</si>
  <si>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</si>
  <si>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</si>
  <si>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</si>
  <si>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</si>
  <si>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</si>
  <si>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</si>
  <si>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</si>
  <si>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</si>
  <si>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</si>
  <si>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</si>
  <si>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</si>
  <si>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</si>
  <si>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</si>
  <si>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</si>
  <si>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</si>
  <si>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</si>
  <si>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</si>
  <si>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</si>
  <si>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</si>
  <si>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</si>
  <si>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</si>
  <si>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</si>
  <si>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</si>
  <si>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</si>
  <si>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</si>
  <si>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</si>
  <si>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</si>
  <si>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</si>
  <si>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</si>
  <si>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</si>
  <si>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</si>
  <si>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</si>
  <si>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</si>
  <si>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</si>
  <si>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</si>
  <si>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</si>
  <si>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</si>
  <si>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</si>
  <si>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</si>
  <si>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</si>
  <si>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</si>
  <si>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</si>
  <si>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</si>
  <si>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</si>
  <si>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</si>
  <si>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</si>
  <si>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</si>
  <si>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</si>
  <si>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</si>
  <si>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</si>
  <si>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</si>
  <si>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</si>
  <si>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</si>
  <si>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</si>
  <si>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</si>
  <si>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</si>
  <si>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</si>
  <si>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</si>
  <si>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</si>
  <si>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</si>
  <si>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</si>
  <si>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</si>
  <si>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</si>
  <si>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</si>
  <si>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</si>
  <si>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</si>
  <si>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</si>
  <si>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</si>
  <si>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</si>
  <si>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</si>
  <si>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</si>
  <si>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</si>
  <si>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</si>
  <si>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</si>
  <si>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</si>
  <si>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</si>
  <si>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</si>
  <si>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</si>
  <si>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</si>
  <si>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</si>
  <si>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</si>
  <si>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</si>
  <si>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</si>
  <si>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</si>
  <si>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</si>
  <si>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</si>
  <si>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</si>
  <si>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</si>
  <si>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</si>
  <si>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</si>
  <si>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</si>
  <si>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</si>
  <si>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</si>
  <si>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</si>
  <si>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</si>
  <si>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</si>
  <si>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</si>
  <si>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</si>
  <si>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</si>
  <si>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</si>
  <si>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</si>
  <si>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</si>
  <si>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</si>
  <si>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</si>
  <si>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</si>
  <si>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</si>
  <si>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</si>
  <si>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</si>
  <si>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</si>
  <si>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</si>
  <si>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</si>
  <si>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</si>
  <si>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</si>
  <si>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</si>
  <si>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</si>
  <si>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</si>
  <si>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</si>
  <si>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</si>
  <si>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</si>
  <si>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</si>
  <si>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</si>
  <si>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</si>
  <si>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</si>
  <si>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</si>
  <si>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</si>
  <si>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</si>
  <si>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</si>
  <si>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</si>
  <si>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</si>
  <si>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</si>
  <si>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</si>
  <si>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</si>
  <si>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</si>
  <si>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</si>
  <si>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</si>
  <si>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</si>
  <si>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</si>
  <si>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</si>
  <si>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</si>
  <si>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</si>
  <si>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</si>
  <si>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</si>
  <si>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</si>
  <si>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</si>
  <si>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</si>
  <si>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</si>
  <si>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</si>
  <si>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</si>
  <si>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</si>
  <si>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</si>
  <si>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</si>
  <si>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</si>
  <si>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</si>
  <si>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</si>
  <si>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</si>
  <si>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</si>
  <si>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</si>
  <si>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</si>
  <si>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</si>
  <si>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</si>
  <si>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</si>
  <si>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</si>
  <si>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</si>
  <si>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</si>
  <si>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</si>
  <si>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</si>
  <si>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</si>
  <si>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</si>
  <si>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</si>
  <si>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</si>
  <si>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</si>
  <si>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</si>
  <si>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</si>
  <si>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</si>
  <si>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</si>
  <si>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</si>
  <si>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</si>
  <si>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</si>
  <si>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</si>
  <si>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</si>
  <si>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</si>
  <si>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</si>
  <si>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</si>
  <si>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</si>
  <si>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</si>
  <si>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</si>
  <si>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</si>
  <si>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</si>
  <si>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</si>
  <si>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</si>
  <si>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</si>
  <si>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</si>
  <si>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</si>
  <si>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</si>
  <si>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</si>
  <si>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</si>
  <si>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</si>
  <si>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</si>
  <si>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</si>
  <si>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</si>
  <si>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</si>
  <si>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</si>
  <si>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</si>
  <si>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</si>
  <si>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</si>
  <si>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</si>
  <si>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</si>
  <si>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</si>
  <si>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</si>
  <si>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</si>
  <si>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</si>
  <si>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</si>
  <si>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</si>
  <si>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</si>
  <si>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</si>
  <si>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</si>
  <si>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</si>
  <si>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</si>
  <si>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</si>
  <si>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</si>
  <si>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</si>
  <si>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</si>
  <si>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</si>
  <si>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</si>
  <si>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</si>
  <si>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</si>
  <si>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</si>
  <si>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</si>
  <si>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</si>
  <si>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</si>
  <si>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</si>
  <si>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</si>
  <si>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</si>
  <si>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</si>
  <si>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</si>
  <si>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</si>
  <si>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</si>
  <si>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</si>
  <si>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</si>
  <si>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</si>
  <si>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</si>
  <si>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</si>
  <si>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</si>
  <si>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</si>
  <si>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</si>
  <si>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</si>
  <si>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</si>
  <si>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</si>
  <si>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</si>
  <si>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</si>
  <si>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</si>
  <si>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</si>
  <si>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</si>
  <si>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</si>
  <si>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</si>
  <si>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</si>
  <si>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</si>
  <si>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</si>
  <si>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</si>
  <si>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</si>
  <si>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</si>
  <si>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</si>
  <si>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</si>
  <si>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</si>
  <si>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</si>
  <si>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</si>
  <si>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</si>
  <si>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</si>
  <si>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</si>
  <si>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</si>
  <si>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</si>
  <si>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</si>
  <si>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</si>
  <si>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</si>
  <si>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</si>
  <si>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</si>
  <si>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</si>
  <si>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</si>
  <si>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</si>
  <si>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</si>
  <si>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</si>
  <si>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</si>
  <si>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</si>
  <si>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</si>
  <si>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</si>
  <si>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</si>
  <si>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</si>
  <si>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</si>
  <si>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</si>
  <si>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</si>
  <si>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</si>
  <si>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</si>
  <si>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</si>
  <si>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</si>
  <si>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</si>
  <si>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</si>
  <si>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</si>
  <si>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</si>
  <si>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</si>
  <si>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</si>
  <si>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</si>
  <si>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</si>
  <si>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</si>
  <si>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</si>
  <si>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</si>
  <si>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</si>
  <si>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</si>
  <si>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</si>
  <si>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</si>
  <si>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</si>
  <si>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</si>
  <si>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</si>
  <si>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</si>
  <si>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</si>
  <si>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</si>
  <si>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</si>
  <si>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</si>
  <si>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</si>
  <si>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</si>
  <si>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</si>
  <si>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</si>
  <si>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</si>
  <si>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</si>
  <si>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</si>
  <si>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</si>
  <si>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</si>
  <si>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</si>
  <si>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</si>
  <si>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</si>
  <si>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</si>
  <si>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</si>
  <si>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</si>
  <si>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</si>
  <si>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</si>
  <si>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</si>
  <si>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</si>
  <si>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</si>
  <si>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</si>
  <si>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</si>
  <si>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</si>
  <si>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</si>
  <si>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</si>
  <si>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</si>
  <si>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</si>
  <si>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</si>
  <si>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</si>
  <si>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</si>
  <si>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</si>
  <si>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</si>
  <si>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</si>
  <si>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</si>
  <si>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</si>
  <si>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</si>
  <si>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</si>
  <si>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</si>
  <si>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</si>
  <si>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</si>
  <si>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</si>
  <si>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</si>
  <si>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</si>
  <si>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</si>
  <si>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</si>
  <si>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</si>
  <si>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</si>
  <si>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</si>
  <si>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</si>
  <si>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</si>
  <si>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</si>
  <si>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</si>
  <si>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</si>
  <si>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</si>
  <si>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</si>
  <si>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</si>
  <si>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</si>
  <si>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</si>
  <si>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</si>
  <si>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</si>
  <si>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</si>
  <si>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</si>
  <si>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</si>
  <si>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</si>
  <si>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</si>
  <si>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</si>
  <si>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</si>
  <si>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</si>
  <si>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</si>
  <si>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</si>
  <si>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</si>
  <si>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</si>
  <si>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</si>
  <si>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</si>
  <si>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</si>
  <si>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</si>
  <si>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</si>
  <si>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</si>
  <si>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</si>
  <si>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</si>
  <si>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</si>
  <si>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</si>
  <si>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</si>
  <si>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</si>
  <si>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</si>
  <si>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</si>
  <si>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</si>
  <si>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</si>
  <si>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</si>
  <si>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</si>
  <si>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</si>
  <si>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</si>
  <si>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</si>
  <si>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</si>
  <si>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</si>
  <si>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</si>
  <si>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</si>
  <si>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</si>
  <si>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</si>
  <si>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</si>
  <si>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</si>
  <si>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</si>
  <si>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</si>
  <si>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</si>
  <si>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</si>
  <si>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</si>
  <si>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</si>
  <si>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</si>
  <si>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</si>
  <si>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</si>
  <si>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</si>
  <si>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</si>
  <si>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</si>
  <si>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</si>
  <si>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</si>
  <si>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</si>
  <si>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</si>
  <si>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</si>
  <si>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</si>
  <si>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</si>
  <si>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</si>
  <si>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</si>
  <si>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</si>
  <si>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</si>
  <si>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</si>
  <si>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</si>
  <si>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</si>
  <si>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</si>
  <si>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</si>
  <si>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</si>
  <si>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</si>
  <si>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</si>
  <si>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</si>
  <si>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</si>
  <si>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</si>
  <si>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</si>
  <si>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</si>
  <si>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</si>
  <si>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</si>
  <si>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</si>
  <si>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</si>
  <si>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</si>
  <si>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</si>
  <si>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</si>
  <si>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</si>
  <si>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</si>
  <si>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</si>
  <si>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</si>
  <si>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</si>
  <si>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</si>
  <si>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</si>
  <si>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</si>
  <si>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</si>
  <si>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</si>
  <si>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</si>
  <si>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</si>
  <si>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</si>
  <si>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</si>
  <si>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</si>
  <si>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</si>
  <si>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</si>
  <si>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</si>
  <si>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</si>
  <si>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</si>
  <si>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</si>
  <si>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</si>
  <si>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</si>
  <si>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</si>
  <si>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</si>
  <si>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</si>
  <si>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</si>
  <si>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</si>
  <si>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</si>
  <si>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</si>
  <si>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</si>
  <si>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</si>
  <si>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</si>
  <si>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</si>
  <si>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</si>
  <si>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</si>
  <si>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</si>
  <si>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</si>
  <si>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</si>
  <si>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</si>
  <si>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</si>
  <si>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</si>
  <si>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</si>
  <si>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</si>
  <si>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</si>
  <si>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</si>
  <si>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</si>
  <si>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</si>
  <si>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</si>
  <si>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</si>
  <si>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</si>
  <si>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</si>
  <si>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</si>
  <si>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</si>
  <si>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</si>
  <si>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</si>
  <si>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</si>
  <si>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</si>
  <si>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</si>
  <si>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</si>
  <si>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</si>
  <si>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</si>
  <si>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</si>
  <si>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</si>
  <si>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</si>
  <si>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</si>
  <si>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</si>
  <si>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</si>
  <si>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</si>
  <si>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</si>
  <si>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</si>
  <si>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</si>
  <si>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</si>
  <si>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</si>
  <si>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</si>
  <si>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</si>
  <si>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</si>
  <si>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</si>
  <si>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</si>
  <si>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</si>
  <si>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</si>
  <si>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</si>
  <si>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</si>
  <si>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</si>
  <si>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</si>
  <si>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</si>
  <si>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</si>
  <si>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</si>
  <si>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</si>
  <si>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</si>
  <si>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</si>
  <si>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</si>
  <si>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</si>
  <si>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</si>
  <si>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</si>
  <si>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</si>
  <si>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</si>
  <si>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</si>
  <si>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</si>
  <si>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</si>
  <si>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</si>
  <si>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</si>
  <si>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</si>
  <si>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</si>
  <si>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</si>
  <si>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</si>
  <si>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</si>
  <si>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</si>
  <si>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</si>
  <si>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</si>
  <si>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</si>
  <si>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</si>
  <si>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</si>
  <si>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</si>
  <si>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</si>
  <si>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</si>
  <si>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</si>
  <si>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</si>
  <si>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</si>
  <si>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</si>
  <si>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</si>
  <si>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</si>
  <si>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</si>
  <si>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</si>
  <si>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</si>
  <si>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</si>
  <si>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</si>
  <si>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</si>
  <si>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</si>
  <si>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</si>
  <si>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</si>
  <si>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</si>
  <si>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</si>
  <si>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</si>
  <si>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</si>
  <si>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</si>
  <si>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</si>
  <si>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</si>
  <si>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</si>
  <si>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</si>
  <si>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</si>
  <si>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</si>
  <si>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</si>
  <si>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</si>
  <si>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</si>
  <si>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</si>
  <si>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</si>
  <si>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</si>
  <si>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</si>
  <si>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</si>
  <si>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</si>
  <si>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</si>
  <si>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</si>
  <si>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</si>
  <si>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</si>
  <si>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</si>
  <si>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</si>
  <si>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</si>
  <si>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</si>
  <si>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</si>
  <si>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</si>
  <si>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</si>
  <si>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</si>
  <si>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</si>
  <si>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</si>
  <si>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</si>
  <si>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</si>
  <si>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</si>
  <si>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</si>
  <si>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</si>
  <si>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</si>
  <si>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</si>
  <si>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</si>
  <si>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</si>
  <si>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</si>
  <si>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</si>
  <si>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</si>
  <si>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</si>
  <si>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</si>
  <si>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</si>
  <si>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</si>
  <si>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</si>
  <si>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</si>
  <si>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</si>
  <si>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</si>
  <si>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</si>
  <si>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</si>
  <si>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</si>
  <si>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</si>
  <si>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</si>
  <si>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</si>
  <si>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</si>
  <si>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</si>
  <si>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</si>
  <si>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</si>
  <si>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</si>
  <si>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</si>
  <si>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</si>
  <si>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</si>
  <si>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</si>
  <si>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</si>
  <si>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</si>
  <si>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</si>
  <si>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</si>
  <si>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</si>
  <si>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</si>
  <si>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</si>
  <si>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</si>
  <si>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</si>
  <si>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</si>
  <si>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</si>
  <si>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</si>
  <si>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</si>
  <si>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</si>
  <si>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</si>
  <si>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</si>
  <si>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</si>
  <si>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</si>
  <si>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</si>
  <si>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</si>
  <si>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</si>
  <si>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</si>
  <si>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</si>
  <si>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</si>
  <si>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</si>
  <si>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</si>
  <si>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</si>
  <si>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</si>
  <si>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</si>
  <si>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</si>
  <si>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</si>
  <si>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</si>
  <si>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</si>
  <si>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</si>
  <si>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</si>
  <si>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</si>
  <si>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</si>
  <si>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</si>
  <si>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</si>
  <si>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</si>
  <si>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</si>
  <si>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</si>
  <si>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</si>
  <si>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</si>
  <si>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</si>
  <si>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</si>
  <si>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</si>
  <si>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</si>
  <si>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</si>
  <si>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</si>
  <si>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</si>
  <si>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</si>
  <si>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</si>
  <si>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</si>
  <si>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</si>
  <si>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</si>
  <si>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</si>
  <si>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</si>
  <si>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</si>
  <si>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</si>
  <si>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</si>
  <si>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</si>
  <si>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</si>
  <si>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</si>
  <si>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</si>
  <si>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</si>
  <si>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</si>
  <si>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</si>
  <si>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</si>
  <si>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</si>
  <si>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</si>
  <si>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</si>
  <si>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</si>
  <si>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</si>
  <si>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</si>
  <si>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</si>
  <si>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</si>
  <si>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</si>
  <si>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</si>
  <si>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</si>
  <si>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</si>
  <si>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</si>
  <si>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</si>
  <si>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</si>
  <si>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</si>
  <si>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</si>
  <si>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</si>
  <si>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</si>
  <si>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</si>
  <si>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</si>
  <si>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</si>
  <si>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</si>
  <si>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</si>
  <si>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</si>
  <si>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</si>
  <si>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</si>
  <si>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</si>
  <si>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</si>
  <si>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</si>
  <si>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</si>
  <si>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</si>
  <si>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</si>
  <si>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</si>
  <si>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</si>
  <si>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</si>
  <si>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</si>
  <si>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</si>
  <si>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</si>
  <si>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</si>
  <si>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</si>
  <si>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</si>
  <si>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</si>
  <si>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</si>
  <si>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</si>
  <si>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</si>
  <si>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</si>
  <si>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</si>
  <si>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</si>
  <si>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</si>
  <si>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</si>
  <si>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</si>
  <si>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</si>
  <si>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</si>
  <si>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</si>
  <si>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</si>
  <si>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</si>
  <si>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</si>
  <si>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</si>
  <si>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</si>
  <si>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</si>
  <si>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</si>
  <si>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</si>
  <si>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</si>
  <si>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</si>
  <si>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</si>
  <si>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</si>
  <si>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</si>
  <si>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</si>
  <si>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</si>
  <si>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</si>
  <si>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</si>
  <si>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</si>
  <si>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</si>
  <si>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</si>
  <si>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</si>
  <si>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</si>
  <si>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</si>
  <si>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</si>
  <si>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</si>
  <si>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</si>
  <si>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</si>
  <si>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</si>
  <si>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</si>
  <si>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</si>
  <si>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</si>
  <si>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</si>
  <si>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</si>
  <si>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</si>
  <si>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</si>
  <si>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</si>
  <si>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</si>
  <si>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</si>
  <si>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</si>
  <si>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</si>
  <si>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</si>
  <si>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</si>
  <si>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</si>
  <si>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</si>
  <si>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</si>
  <si>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</si>
  <si>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</si>
  <si>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</si>
  <si>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</si>
  <si>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</si>
  <si>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</si>
  <si>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</si>
  <si>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</si>
  <si>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</si>
  <si>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</si>
  <si>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</si>
  <si>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</si>
  <si>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</si>
  <si>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</si>
  <si>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</si>
  <si>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</si>
  <si>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</si>
  <si>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</si>
  <si>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</si>
  <si>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</si>
  <si>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</si>
  <si>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</si>
  <si>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</si>
  <si>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</si>
  <si>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</si>
  <si>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</si>
  <si>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</si>
  <si>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</si>
  <si>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</si>
  <si>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</si>
  <si>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</si>
  <si>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</si>
  <si>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</si>
  <si>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</si>
  <si>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</si>
  <si>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</si>
  <si>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</si>
  <si>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</si>
  <si>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</si>
  <si>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</si>
  <si>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</si>
  <si>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</si>
  <si>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</si>
  <si>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</si>
  <si>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</si>
  <si>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</si>
  <si>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</si>
  <si>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</si>
  <si>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</si>
  <si>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</si>
  <si>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</si>
  <si>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</si>
  <si>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</si>
  <si>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</si>
  <si>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</si>
  <si>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</si>
  <si>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</si>
  <si>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</si>
  <si>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</si>
  <si>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</si>
  <si>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</si>
  <si>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</si>
  <si>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</si>
  <si>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</si>
  <si>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</si>
  <si>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</si>
  <si>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</si>
  <si>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</si>
  <si>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</si>
  <si>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</si>
  <si>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</si>
  <si>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</si>
  <si>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</si>
  <si>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</si>
  <si>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</si>
  <si>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</si>
  <si>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</si>
  <si>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</si>
  <si>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</si>
  <si>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</si>
  <si>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</si>
  <si>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</si>
  <si>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</si>
  <si>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</si>
  <si>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</si>
  <si>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</si>
  <si>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</si>
  <si>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</si>
  <si>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</si>
  <si>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</si>
  <si>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</si>
  <si>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</si>
  <si>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</si>
  <si>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</si>
  <si>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</si>
  <si>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</si>
  <si>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</si>
  <si>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</si>
  <si>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</si>
  <si>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</si>
  <si>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</si>
  <si>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</si>
  <si>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</si>
  <si>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</si>
  <si>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</si>
  <si>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</si>
  <si>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</si>
  <si>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</si>
  <si>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</si>
  <si>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</si>
  <si>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</si>
  <si>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</si>
  <si>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</si>
  <si>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</si>
  <si>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</si>
  <si>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</si>
  <si>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</si>
  <si>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</si>
  <si>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</si>
  <si>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</si>
  <si>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</si>
  <si>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</si>
  <si>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</si>
  <si>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</si>
  <si>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</si>
  <si>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</si>
  <si>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</si>
  <si>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</si>
  <si>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</si>
  <si>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</si>
  <si>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</si>
  <si>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</si>
  <si>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</si>
  <si>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</si>
  <si>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</si>
  <si>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</si>
  <si>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</si>
  <si>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</si>
  <si>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</si>
  <si>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</si>
  <si>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</si>
  <si>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</si>
  <si>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</si>
  <si>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</si>
  <si>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</si>
  <si>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</si>
  <si>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</si>
  <si>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</si>
  <si>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</si>
  <si>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</si>
  <si>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</si>
  <si>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</si>
  <si>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</si>
  <si>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</si>
  <si>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</si>
  <si>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</si>
  <si>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</si>
  <si>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</si>
  <si>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</si>
  <si>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</si>
  <si>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</si>
  <si>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</si>
  <si>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</si>
  <si>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</si>
  <si>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</si>
  <si>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</si>
  <si>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</si>
  <si>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</si>
  <si>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</si>
  <si>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</si>
  <si>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</si>
  <si>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</si>
  <si>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</si>
  <si>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</si>
  <si>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</si>
  <si>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</si>
  <si>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</si>
  <si>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</si>
  <si>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</si>
  <si>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</si>
  <si>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</si>
  <si>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</si>
  <si>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</si>
  <si>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</si>
  <si>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</si>
  <si>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</si>
  <si>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</si>
  <si>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</si>
  <si>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</si>
  <si>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</si>
  <si>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</si>
  <si>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</si>
  <si>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</si>
  <si>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</si>
  <si>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</si>
  <si>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</si>
  <si>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</si>
  <si>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</si>
  <si>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</si>
  <si>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</si>
  <si>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</si>
  <si>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</si>
  <si>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</si>
  <si>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</si>
  <si>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</si>
  <si>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</si>
  <si>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</si>
  <si>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</si>
  <si>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</si>
  <si>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</si>
  <si>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</si>
  <si>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</si>
  <si>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</si>
  <si>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</si>
  <si>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</si>
  <si>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</si>
  <si>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</si>
  <si>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</si>
  <si>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</si>
  <si>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</si>
  <si>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</si>
  <si>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</si>
  <si>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</si>
  <si>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</si>
  <si>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</si>
  <si>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</si>
  <si>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</si>
  <si>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</si>
  <si>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</si>
  <si>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</si>
  <si>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</si>
  <si>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</si>
  <si>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</si>
  <si>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</si>
  <si>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</si>
  <si>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</si>
  <si>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</si>
  <si>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</si>
  <si>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</si>
  <si>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</si>
  <si>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</si>
  <si>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</si>
  <si>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</si>
  <si>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</si>
  <si>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</si>
  <si>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</si>
  <si>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</si>
  <si>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</si>
  <si>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</si>
  <si>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</si>
  <si>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</si>
  <si>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</si>
  <si>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</si>
  <si>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</si>
  <si>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</si>
  <si>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</si>
  <si>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</si>
  <si>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</si>
  <si>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</si>
  <si>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</si>
  <si>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</si>
  <si>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</si>
  <si>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</si>
  <si>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</si>
  <si>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</si>
  <si>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</si>
  <si>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</si>
  <si>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</si>
  <si>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</si>
  <si>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</si>
  <si>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</si>
  <si>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</si>
  <si>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</si>
  <si>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</si>
  <si>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</si>
  <si>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</si>
  <si>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</si>
  <si>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</si>
  <si>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</si>
  <si>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</si>
  <si>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</si>
  <si>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</si>
  <si>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</si>
  <si>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</si>
  <si>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</si>
  <si>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</si>
  <si>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</si>
  <si>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</si>
  <si>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</si>
  <si>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</si>
  <si>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</si>
  <si>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</si>
  <si>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</si>
  <si>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</si>
  <si>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</si>
  <si>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</si>
  <si>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</si>
  <si>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</si>
  <si>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</si>
  <si>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</si>
  <si>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</si>
  <si>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</si>
  <si>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</si>
  <si>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</si>
  <si>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</si>
  <si>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</si>
  <si>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</si>
  <si>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</si>
  <si>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</si>
  <si>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</si>
  <si>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</si>
  <si>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</si>
  <si>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</si>
  <si>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</si>
  <si>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</si>
  <si>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</si>
  <si>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</si>
  <si>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</si>
  <si>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</si>
  <si>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</si>
  <si>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</si>
  <si>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</si>
  <si>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</si>
  <si>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</si>
  <si>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</si>
  <si>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</si>
  <si>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</si>
  <si>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</si>
  <si>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</si>
  <si>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</si>
  <si>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</si>
  <si>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</si>
  <si>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</si>
  <si>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</si>
  <si>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</si>
  <si>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</si>
  <si>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</si>
  <si>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</si>
  <si>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</si>
  <si>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</si>
  <si>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</si>
  <si>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</si>
  <si>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</si>
  <si>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</si>
  <si>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</si>
  <si>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</si>
  <si>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</si>
  <si>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</si>
  <si>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</si>
  <si>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</si>
  <si>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</si>
  <si>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</si>
  <si>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</si>
  <si>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</si>
  <si>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</si>
  <si>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</si>
  <si>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</si>
  <si>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</si>
  <si>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</si>
  <si>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</si>
  <si>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</si>
  <si>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</si>
  <si>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</si>
  <si>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</si>
  <si>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</si>
  <si>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</si>
  <si>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</si>
  <si>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</si>
  <si>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</si>
  <si>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</si>
  <si>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</si>
  <si>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</si>
  <si>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</si>
  <si>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</si>
  <si>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</si>
  <si>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</si>
  <si>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</si>
  <si>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</si>
  <si>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</si>
  <si>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</si>
  <si>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</si>
  <si>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</si>
  <si>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</si>
  <si>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</si>
  <si>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</si>
  <si>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</si>
  <si>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</si>
  <si>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</si>
  <si>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</si>
  <si>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</si>
  <si>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</si>
  <si>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</si>
  <si>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</si>
  <si>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</si>
  <si>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</si>
  <si>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</si>
  <si>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</si>
  <si>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</si>
  <si>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</si>
  <si>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</si>
  <si>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</si>
  <si>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</si>
  <si>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</si>
  <si>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</si>
  <si>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</si>
  <si>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</si>
  <si>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</si>
  <si>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</si>
  <si>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</si>
  <si>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</si>
  <si>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</si>
  <si>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</si>
  <si>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</si>
  <si>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</si>
  <si>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</si>
  <si>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</si>
  <si>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</si>
  <si>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</si>
  <si>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</si>
  <si>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</si>
  <si>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</si>
  <si>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</si>
  <si>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</si>
  <si>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</si>
  <si>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</si>
  <si>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</si>
  <si>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</si>
  <si>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</si>
  <si>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</si>
  <si>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</si>
  <si>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</si>
  <si>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</si>
  <si>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</si>
  <si>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</si>
  <si>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</si>
  <si>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</si>
  <si>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</si>
  <si>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</si>
  <si>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</si>
  <si>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</si>
  <si>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</si>
  <si>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</si>
  <si>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</si>
  <si>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</si>
  <si>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</si>
  <si>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</si>
  <si>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</si>
  <si>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</si>
  <si>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</si>
  <si>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</si>
  <si>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</si>
  <si>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</si>
  <si>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</si>
  <si>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</si>
  <si>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</si>
  <si>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</si>
  <si>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</si>
  <si>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</si>
  <si>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</si>
  <si>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</si>
  <si>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</si>
  <si>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</si>
  <si>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</si>
  <si>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</si>
  <si>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</si>
  <si>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</si>
  <si>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</si>
  <si>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</si>
  <si>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</si>
  <si>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</si>
  <si>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</si>
  <si>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</si>
  <si>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</si>
  <si>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</si>
  <si>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</si>
  <si>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</si>
  <si>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</si>
  <si>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</si>
  <si>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</si>
  <si>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</si>
  <si>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</si>
  <si>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</si>
  <si>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</si>
  <si>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</si>
  <si>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</si>
  <si>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</si>
  <si>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</si>
  <si>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</si>
  <si>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</si>
  <si>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</si>
  <si>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</si>
  <si>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</si>
  <si>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</si>
  <si>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</si>
  <si>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</si>
  <si>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</si>
  <si>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</si>
  <si>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</si>
  <si>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</si>
  <si>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</si>
  <si>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</si>
  <si>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</si>
  <si>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</si>
  <si>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</si>
  <si>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</si>
  <si>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</si>
  <si>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</si>
  <si>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</si>
  <si>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</si>
  <si>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</si>
  <si>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</si>
  <si>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</si>
  <si>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</si>
  <si>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</si>
  <si>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</si>
  <si>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</si>
  <si>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</si>
  <si>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</si>
  <si>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</si>
  <si>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</si>
  <si>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</si>
  <si>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</si>
  <si>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</si>
  <si>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</si>
  <si>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</si>
  <si>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</si>
  <si>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</si>
  <si>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</si>
  <si>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</si>
  <si>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</si>
  <si>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</si>
  <si>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</si>
  <si>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</si>
  <si>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</si>
  <si>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</si>
  <si>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</si>
  <si>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</si>
  <si>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</si>
  <si>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</si>
  <si>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</si>
  <si>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</si>
  <si>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</si>
  <si>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</si>
  <si>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</si>
  <si>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</si>
  <si>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</si>
  <si>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</si>
  <si>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</si>
  <si>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</si>
  <si>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</si>
  <si>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</si>
  <si>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</si>
  <si>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</si>
  <si>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</si>
  <si>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</si>
  <si>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</si>
  <si>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</si>
  <si>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</si>
  <si>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</si>
  <si>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</si>
  <si>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</si>
  <si>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</si>
  <si>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</si>
  <si>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</si>
  <si>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</si>
  <si>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</si>
  <si>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</si>
  <si>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</si>
  <si>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</si>
  <si>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</si>
  <si>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</si>
  <si>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</si>
  <si>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</si>
  <si>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</si>
  <si>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</si>
  <si>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</si>
  <si>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</si>
  <si>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</si>
  <si>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</si>
  <si>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</si>
  <si>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</si>
  <si>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</si>
  <si>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</si>
  <si>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</si>
  <si>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</si>
  <si>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</si>
  <si>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</si>
  <si>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</si>
  <si>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</si>
  <si>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</si>
  <si>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</si>
  <si>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</si>
  <si>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</si>
  <si>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</si>
  <si>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</si>
  <si>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</si>
  <si>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</si>
  <si>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</si>
  <si>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</si>
  <si>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</si>
  <si>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</si>
  <si>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</si>
  <si>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</si>
  <si>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</si>
  <si>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</si>
  <si>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</si>
  <si>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</si>
  <si>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</si>
  <si>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</si>
  <si>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</si>
  <si>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</si>
  <si>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</si>
  <si>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</si>
  <si>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</si>
  <si>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</si>
  <si>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</si>
  <si>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</si>
  <si>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</si>
  <si>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</si>
  <si>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</si>
  <si>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</si>
  <si>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</si>
  <si>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</si>
  <si>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</si>
  <si>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</si>
  <si>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</si>
  <si>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</si>
  <si>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</si>
  <si>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</si>
  <si>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</si>
  <si>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</si>
  <si>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</si>
  <si>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</si>
  <si>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</si>
  <si>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</si>
  <si>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</si>
  <si>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</si>
  <si>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</si>
  <si>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</si>
  <si>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</si>
  <si>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</si>
  <si>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</si>
  <si>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</si>
  <si>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</si>
  <si>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</si>
  <si>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</si>
  <si>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</si>
  <si>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</si>
  <si>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</si>
  <si>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</si>
  <si>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</si>
  <si>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</si>
  <si>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</si>
  <si>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</si>
  <si>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</si>
  <si>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</si>
  <si>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</si>
  <si>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</si>
  <si>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</si>
  <si>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</si>
  <si>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</si>
  <si>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</si>
  <si>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</si>
  <si>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</si>
  <si>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</si>
  <si>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</si>
  <si>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</si>
  <si>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</si>
  <si>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</si>
  <si>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</si>
  <si>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</si>
  <si>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</si>
  <si>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</si>
  <si>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</si>
  <si>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</si>
  <si>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</si>
  <si>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</si>
  <si>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</si>
  <si>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</si>
  <si>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</si>
  <si>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</si>
  <si>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</si>
  <si>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</si>
  <si>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</si>
  <si>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</si>
  <si>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</si>
  <si>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</si>
  <si>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</si>
  <si>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</si>
  <si>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</si>
  <si>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</si>
  <si>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</si>
  <si>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</si>
  <si>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</si>
  <si>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</si>
  <si>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</si>
  <si>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</si>
  <si>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</si>
  <si>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</si>
  <si>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</si>
  <si>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</si>
  <si>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</si>
  <si>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</si>
  <si>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</si>
  <si>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</si>
  <si>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</si>
  <si>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</si>
  <si>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</si>
  <si>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</si>
  <si>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</si>
  <si>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</si>
  <si>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</si>
  <si>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</si>
  <si>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</si>
  <si>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</si>
  <si>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</si>
  <si>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</si>
  <si>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</si>
  <si>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</si>
  <si>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</si>
  <si>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</si>
  <si>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</si>
  <si>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</si>
  <si>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</si>
  <si>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</si>
  <si>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</si>
  <si>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</si>
  <si>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</si>
  <si>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</si>
  <si>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</si>
  <si>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</si>
  <si>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</si>
  <si>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</si>
  <si>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</si>
  <si>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</si>
  <si>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</si>
  <si>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</si>
  <si>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</si>
  <si>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</si>
  <si>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</si>
  <si>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</si>
  <si>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</si>
  <si>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</si>
  <si>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</si>
  <si>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</si>
  <si>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</si>
  <si>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</si>
  <si>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</si>
  <si>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</si>
  <si>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</si>
  <si>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</si>
  <si>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</si>
  <si>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</si>
  <si>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</si>
  <si>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</si>
  <si>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</si>
  <si>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</si>
  <si>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</si>
  <si>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</si>
  <si>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</si>
  <si>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</si>
  <si>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</si>
  <si>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</si>
  <si>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</si>
  <si>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</si>
  <si>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</si>
  <si>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</si>
  <si>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</si>
  <si>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</si>
  <si>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</si>
  <si>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</si>
  <si>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</si>
  <si>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</si>
  <si>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</si>
  <si>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</si>
  <si>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</si>
  <si>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</si>
  <si>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</si>
  <si>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</si>
  <si>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</si>
  <si>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</si>
  <si>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</si>
  <si>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</si>
  <si>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</si>
  <si>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</si>
  <si>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</si>
  <si>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</si>
  <si>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</si>
  <si>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</si>
  <si>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</si>
  <si>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</si>
  <si>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</si>
  <si>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</si>
  <si>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</si>
  <si>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</si>
  <si>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</si>
  <si>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</si>
  <si>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</si>
  <si>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</si>
  <si>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</si>
  <si>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</si>
  <si>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</si>
  <si>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</si>
  <si>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</si>
  <si>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</si>
  <si>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</si>
  <si>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</si>
  <si>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</si>
  <si>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</si>
  <si>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</si>
  <si>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</si>
  <si>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</si>
  <si>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</si>
  <si>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</si>
  <si>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</si>
  <si>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</si>
  <si>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</si>
  <si>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</si>
  <si>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</si>
  <si>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</si>
  <si>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</si>
  <si>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</si>
  <si>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</si>
  <si>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</si>
  <si>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</si>
  <si>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</si>
  <si>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</si>
  <si>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</si>
  <si>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</si>
  <si>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</si>
  <si>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</si>
  <si>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</si>
  <si>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</si>
  <si>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</si>
  <si>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</si>
  <si>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</si>
  <si>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</si>
  <si>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</si>
  <si>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</si>
  <si>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</si>
  <si>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</si>
  <si>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</si>
  <si>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</si>
  <si>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</si>
  <si>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</si>
  <si>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</si>
  <si>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</si>
  <si>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</si>
  <si>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</si>
  <si>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</si>
  <si>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</si>
  <si>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</si>
  <si>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</si>
  <si>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</si>
  <si>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</si>
  <si>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</si>
  <si>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</si>
  <si>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</si>
  <si>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</si>
  <si>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</si>
  <si>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</si>
  <si>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</si>
  <si>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</si>
  <si>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</si>
  <si>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</si>
  <si>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</si>
  <si>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</si>
  <si>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</si>
  <si>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</si>
  <si>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</si>
  <si>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</si>
  <si>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</si>
  <si>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</si>
  <si>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</si>
  <si>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</si>
  <si>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</si>
  <si>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</si>
  <si>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</si>
  <si>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</si>
  <si>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</si>
  <si>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</si>
  <si>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</si>
  <si>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</si>
  <si>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</si>
  <si>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</si>
  <si>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</si>
  <si>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</si>
  <si>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</si>
  <si>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</si>
  <si>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</si>
  <si>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</si>
  <si>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</si>
  <si>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</si>
  <si>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</si>
  <si>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</si>
  <si>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</si>
  <si>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</si>
  <si>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</si>
  <si>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</si>
  <si>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</si>
  <si>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</si>
  <si>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</si>
  <si>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</si>
  <si>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</si>
  <si>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</si>
  <si>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</si>
  <si>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</si>
  <si>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</si>
  <si>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</si>
  <si>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</si>
  <si>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</si>
  <si>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</si>
  <si>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</si>
  <si>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</si>
  <si>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</si>
  <si>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</si>
  <si>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</si>
  <si>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</si>
  <si>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</si>
  <si>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</si>
  <si>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</si>
  <si>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</si>
  <si>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</si>
  <si>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</si>
  <si>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</si>
  <si>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</si>
  <si>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</si>
  <si>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</si>
  <si>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</si>
  <si>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</si>
  <si>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</si>
  <si>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</si>
  <si>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</si>
  <si>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</si>
  <si>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</si>
  <si>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</si>
  <si>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</si>
  <si>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</si>
  <si>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</si>
  <si>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</si>
  <si>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</si>
  <si>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</si>
  <si>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</si>
  <si>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</si>
  <si>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</si>
  <si>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</si>
  <si>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</si>
  <si>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</si>
  <si>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</si>
  <si>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</si>
  <si>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</si>
  <si>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</si>
  <si>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</si>
  <si>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</si>
  <si>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</si>
  <si>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</si>
  <si>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</si>
  <si>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</si>
  <si>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</si>
  <si>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</si>
  <si>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</si>
  <si>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</si>
  <si>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</si>
  <si>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</si>
  <si>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</si>
  <si>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</si>
  <si>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</si>
  <si>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</si>
  <si>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</si>
  <si>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</si>
  <si>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</si>
  <si>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</si>
  <si>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</si>
  <si>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</si>
  <si>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</si>
  <si>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</si>
  <si>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</si>
  <si>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</si>
  <si>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</si>
  <si>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</si>
  <si>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</si>
  <si>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</si>
  <si>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</si>
  <si>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</si>
  <si>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</si>
  <si>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</si>
  <si>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</si>
  <si>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</si>
  <si>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</si>
  <si>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</si>
  <si>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</si>
  <si>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</si>
  <si>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</si>
  <si>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</si>
  <si>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</si>
  <si>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</si>
  <si>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</si>
  <si>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</si>
  <si>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</si>
  <si>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</si>
  <si>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</si>
  <si>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</si>
  <si>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</si>
  <si>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</si>
  <si>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</si>
  <si>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</si>
  <si>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</si>
  <si>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</si>
  <si>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</si>
  <si>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</si>
  <si>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</si>
  <si>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</si>
  <si>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</si>
  <si>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</si>
  <si>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</si>
  <si>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</si>
  <si>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</si>
  <si>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</si>
  <si>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</si>
  <si>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</si>
  <si>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</si>
  <si>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</si>
  <si>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</si>
  <si>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</si>
  <si>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</si>
  <si>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</si>
  <si>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</si>
  <si>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</si>
  <si>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</si>
  <si>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</si>
  <si>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</si>
  <si>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</si>
  <si>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</si>
  <si>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</si>
  <si>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</si>
  <si>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</si>
  <si>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</si>
  <si>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</si>
  <si>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</si>
  <si>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</si>
  <si>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</si>
  <si>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</si>
  <si>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</si>
  <si>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</si>
  <si>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</si>
  <si>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</si>
  <si>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</si>
  <si>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</si>
  <si>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</si>
  <si>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</si>
  <si>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</si>
  <si>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</si>
  <si>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</si>
  <si>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</si>
  <si>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</si>
  <si>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</si>
  <si>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</si>
  <si>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</si>
  <si>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</si>
  <si>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</si>
  <si>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</si>
  <si>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</si>
  <si>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</si>
  <si>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</si>
  <si>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</si>
  <si>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</si>
  <si>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</si>
  <si>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</si>
  <si>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</si>
  <si>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</si>
  <si>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</si>
  <si>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</si>
  <si>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</si>
  <si>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</si>
  <si>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</si>
  <si>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</si>
  <si>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</si>
  <si>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</si>
  <si>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</si>
  <si>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</si>
  <si>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</si>
  <si>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</si>
  <si>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</si>
  <si>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</si>
  <si>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</si>
  <si>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</si>
  <si>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</si>
  <si>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</si>
  <si>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</si>
  <si>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</si>
  <si>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</si>
  <si>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</si>
  <si>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</si>
  <si>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</si>
  <si>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</si>
  <si>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</si>
  <si>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</si>
  <si>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</si>
  <si>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</si>
  <si>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</si>
  <si>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</si>
  <si>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</si>
  <si>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</si>
  <si>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</si>
  <si>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</si>
  <si>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</si>
  <si>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</si>
  <si>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</si>
  <si>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</si>
  <si>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</si>
  <si>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</si>
  <si>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</si>
  <si>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</si>
  <si>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</si>
  <si>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</si>
  <si>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</si>
  <si>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</si>
  <si>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</si>
  <si>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</si>
  <si>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</si>
  <si>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</si>
  <si>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</si>
  <si>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</si>
  <si>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</si>
  <si>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</si>
  <si>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</si>
  <si>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</si>
  <si>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</si>
  <si>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</si>
  <si>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</si>
  <si>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</si>
  <si>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</si>
  <si>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</si>
  <si>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</si>
  <si>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</si>
  <si>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</si>
  <si>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</si>
  <si>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</si>
  <si>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</si>
  <si>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</si>
  <si>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</si>
  <si>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</si>
  <si>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</si>
  <si>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</si>
  <si>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</si>
  <si>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</si>
  <si>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</si>
  <si>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</si>
  <si>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</si>
  <si>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</si>
  <si>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</si>
  <si>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</si>
  <si>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</si>
  <si>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</si>
  <si>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</si>
  <si>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</si>
  <si>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</si>
  <si>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</si>
  <si>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</si>
  <si>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</si>
  <si>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</si>
  <si>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</si>
  <si>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</si>
  <si>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</si>
  <si>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</si>
  <si>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</si>
  <si>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</si>
  <si>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</si>
  <si>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</si>
  <si>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</si>
  <si>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</si>
  <si>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</si>
  <si>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</si>
  <si>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</si>
  <si>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</si>
  <si>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</si>
  <si>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</si>
  <si>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</si>
  <si>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</si>
  <si>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</si>
  <si>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</si>
  <si>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</si>
  <si>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</si>
  <si>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</si>
  <si>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</si>
  <si>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</si>
  <si>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</si>
  <si>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</si>
  <si>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</si>
  <si>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</si>
  <si>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</si>
  <si>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</si>
  <si>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</si>
  <si>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</si>
  <si>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</si>
  <si>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</si>
  <si>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</si>
  <si>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</si>
  <si>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</si>
  <si>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</si>
  <si>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</si>
  <si>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</si>
  <si>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</si>
  <si>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</si>
  <si>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</si>
  <si>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</si>
  <si>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</si>
  <si>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</si>
  <si>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</si>
  <si>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</si>
  <si>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</si>
  <si>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</si>
  <si>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</si>
  <si>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</si>
  <si>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</si>
  <si>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</si>
  <si>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</si>
  <si>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</si>
  <si>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</si>
  <si>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</si>
  <si>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</si>
  <si>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</si>
  <si>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</si>
  <si>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</si>
  <si>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</si>
  <si>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</si>
  <si>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</si>
  <si>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</si>
  <si>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</si>
  <si>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</si>
  <si>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</si>
  <si>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</si>
  <si>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</si>
  <si>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</si>
  <si>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</si>
  <si>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</si>
  <si>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</si>
  <si>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</si>
  <si>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</si>
  <si>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</si>
  <si>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</si>
  <si>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</si>
  <si>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</si>
  <si>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</si>
  <si>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</si>
  <si>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</si>
  <si>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</si>
  <si>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</si>
  <si>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</si>
  <si>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</si>
  <si>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</si>
  <si>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</si>
  <si>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</si>
  <si>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</si>
  <si>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</si>
  <si>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</si>
  <si>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</si>
  <si>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</si>
  <si>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</si>
  <si>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</si>
  <si>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</si>
  <si>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</si>
  <si>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</si>
  <si>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</si>
  <si>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</si>
  <si>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</si>
  <si>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</si>
  <si>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</si>
  <si>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</si>
  <si>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</si>
  <si>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</si>
  <si>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</si>
  <si>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</si>
  <si>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</si>
  <si>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</si>
  <si>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</si>
  <si>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</si>
  <si>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</si>
  <si>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</si>
  <si>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</si>
  <si>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</si>
  <si>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</si>
  <si>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</si>
  <si>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</si>
  <si>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</si>
  <si>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</si>
  <si>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</si>
  <si>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</si>
  <si>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</si>
  <si>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</si>
  <si>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</si>
  <si>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</si>
  <si>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</si>
  <si>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</si>
  <si>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</si>
  <si>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</si>
  <si>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</si>
  <si>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</si>
  <si>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</si>
  <si>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</si>
  <si>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</si>
  <si>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</si>
  <si>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</si>
  <si>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</si>
  <si>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</si>
  <si>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</si>
  <si>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</si>
  <si>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</si>
  <si>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</si>
  <si>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</si>
  <si>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</si>
  <si>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</si>
  <si>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</si>
  <si>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</si>
  <si>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</si>
  <si>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</si>
  <si>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</si>
  <si>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</si>
  <si>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</si>
  <si>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</si>
  <si>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</si>
  <si>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</si>
  <si>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</si>
  <si>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</si>
  <si>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</si>
  <si>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</si>
  <si>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</si>
  <si>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</si>
  <si>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</si>
  <si>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</si>
  <si>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</si>
  <si>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</si>
  <si>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</si>
  <si>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</si>
  <si>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</si>
  <si>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</si>
  <si>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</si>
  <si>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</si>
  <si>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</si>
  <si>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</si>
  <si>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</si>
  <si>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</si>
  <si>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</si>
  <si>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</si>
  <si>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</si>
  <si>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</si>
  <si>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</si>
  <si>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</si>
  <si>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</si>
  <si>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</si>
  <si>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</si>
  <si>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</si>
  <si>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</si>
  <si>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</si>
  <si>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</si>
  <si>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</si>
  <si>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</si>
  <si>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</si>
  <si>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</si>
  <si>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</si>
  <si>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</si>
  <si>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</si>
  <si>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</si>
  <si>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</si>
  <si>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</si>
  <si>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</si>
  <si>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</si>
  <si>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</si>
  <si>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</si>
  <si>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</si>
  <si>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</si>
  <si>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</si>
  <si>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</si>
  <si>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</si>
  <si>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</si>
  <si>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</si>
  <si>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</si>
  <si>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</si>
  <si>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</si>
  <si>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</si>
  <si>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</si>
  <si>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</si>
  <si>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</si>
  <si>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</si>
  <si>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</si>
  <si>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</si>
  <si>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</si>
  <si>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</si>
  <si>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</si>
  <si>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</si>
  <si>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</si>
  <si>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</si>
  <si>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</si>
  <si>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</si>
  <si>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</si>
  <si>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</si>
  <si>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</si>
  <si>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</si>
  <si>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</si>
  <si>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</si>
  <si>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</si>
  <si>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</si>
  <si>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</si>
  <si>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</si>
  <si>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</si>
  <si>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</si>
  <si>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</si>
  <si>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</si>
  <si>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</si>
  <si>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</si>
  <si>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</si>
  <si>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</si>
  <si>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</si>
  <si>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</si>
  <si>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</si>
  <si>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</si>
  <si>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</si>
  <si>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</si>
  <si>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</si>
  <si>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</si>
  <si>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</si>
  <si>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</si>
  <si>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</si>
  <si>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</si>
  <si>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</si>
  <si>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</si>
  <si>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</si>
  <si>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</si>
  <si>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</si>
  <si>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</si>
  <si>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</si>
  <si>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</si>
  <si>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</si>
  <si>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</si>
  <si>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</si>
  <si>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</si>
  <si>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</si>
  <si>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</si>
  <si>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</si>
  <si>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</si>
  <si>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</si>
  <si>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</si>
  <si>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</si>
  <si>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</si>
  <si>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</si>
  <si>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</si>
  <si>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</si>
  <si>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</si>
  <si>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</si>
  <si>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</si>
  <si>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</si>
  <si>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</si>
  <si>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</si>
  <si>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</si>
  <si>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</si>
  <si>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</si>
  <si>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</si>
  <si>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</si>
  <si>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</si>
  <si>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</si>
  <si>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</si>
  <si>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</si>
  <si>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</si>
  <si>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</si>
  <si>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</si>
  <si>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</si>
  <si>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</si>
  <si>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</si>
  <si>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</si>
  <si>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</si>
  <si>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</si>
  <si>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</si>
  <si>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</si>
  <si>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</si>
  <si>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</si>
  <si>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</si>
  <si>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</si>
  <si>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</si>
  <si>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</si>
  <si>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</si>
  <si>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</si>
  <si>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</si>
  <si>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</si>
  <si>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</si>
  <si>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</si>
  <si>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</si>
  <si>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</si>
  <si>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</si>
  <si>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</si>
  <si>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</si>
  <si>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</si>
  <si>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</si>
  <si>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</si>
  <si>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</si>
  <si>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</si>
  <si>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</si>
  <si>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</si>
  <si>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</si>
  <si>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</si>
  <si>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</si>
  <si>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</si>
  <si>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</si>
  <si>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</si>
  <si>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</si>
  <si>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</si>
  <si>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</si>
  <si>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</si>
  <si>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</si>
  <si>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</si>
  <si>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</si>
  <si>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</si>
  <si>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</si>
  <si>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</si>
  <si>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</si>
  <si>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</si>
  <si>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</si>
  <si>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</si>
  <si>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</si>
  <si>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</si>
  <si>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</si>
  <si>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</si>
  <si>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</si>
  <si>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</si>
  <si>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</si>
  <si>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</si>
  <si>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</si>
  <si>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</si>
  <si>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</si>
  <si>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</si>
  <si>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</si>
  <si>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</si>
  <si>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</si>
  <si>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</si>
  <si>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</si>
  <si>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</si>
  <si>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</si>
  <si>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</si>
  <si>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</si>
  <si>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</si>
  <si>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</si>
  <si>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</si>
  <si>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</si>
  <si>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</si>
  <si>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</si>
  <si>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</si>
  <si>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</si>
  <si>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</si>
  <si>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</si>
  <si>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</si>
  <si>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</si>
  <si>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</si>
  <si>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</si>
  <si>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</si>
  <si>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</si>
  <si>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</si>
  <si>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</si>
  <si>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</si>
  <si>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</si>
  <si>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</si>
  <si>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</si>
  <si>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</si>
  <si>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</si>
  <si>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</si>
  <si>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</si>
  <si>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</si>
  <si>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</si>
  <si>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</si>
  <si>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</si>
  <si>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</si>
  <si>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</si>
  <si>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</si>
  <si>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</si>
  <si>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</si>
  <si>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</si>
  <si>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</si>
  <si>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</si>
  <si>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</si>
  <si>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</si>
  <si>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</si>
  <si>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</si>
  <si>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</si>
  <si>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</si>
  <si>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</si>
  <si>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</si>
  <si>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</si>
  <si>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</si>
  <si>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</si>
  <si>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</si>
  <si>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</si>
  <si>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</si>
  <si>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</si>
  <si>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</si>
  <si>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</si>
  <si>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</si>
  <si>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</si>
  <si>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</si>
  <si>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</si>
  <si>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</si>
  <si>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</si>
  <si>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</si>
  <si>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</si>
  <si>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</si>
  <si>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</si>
  <si>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</si>
  <si>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</si>
  <si>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</si>
  <si>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</si>
  <si>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</si>
  <si>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</si>
  <si>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</si>
  <si>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</si>
  <si>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</si>
  <si>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</si>
  <si>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</si>
  <si>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</si>
  <si>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</si>
  <si>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</si>
  <si>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</si>
  <si>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</si>
  <si>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</si>
  <si>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</si>
  <si>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</si>
  <si>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</si>
  <si>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</si>
  <si>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</si>
  <si>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</si>
  <si>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</si>
  <si>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</si>
  <si>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</si>
  <si>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</si>
  <si>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</si>
  <si>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</si>
  <si>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</si>
  <si>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</si>
  <si>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</si>
  <si>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</si>
  <si>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</si>
  <si>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</si>
  <si>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</si>
  <si>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</si>
  <si>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</si>
  <si>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</si>
  <si>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</si>
  <si>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</si>
  <si>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</si>
  <si>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</si>
  <si>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</si>
  <si>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</si>
  <si>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</si>
  <si>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</si>
  <si>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</si>
  <si>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</si>
  <si>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</si>
  <si>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</si>
  <si>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</si>
  <si>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</si>
  <si>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</si>
  <si>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</si>
  <si>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</si>
  <si>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</si>
  <si>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</si>
  <si>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</si>
  <si>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</si>
  <si>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</si>
  <si>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</si>
  <si>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</si>
  <si>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</si>
  <si>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</si>
  <si>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</si>
  <si>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</si>
  <si>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</si>
  <si>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</si>
  <si>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</si>
  <si>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</si>
  <si>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</si>
  <si>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</si>
  <si>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</si>
  <si>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</si>
  <si>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</si>
  <si>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</si>
  <si>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</si>
  <si>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</si>
  <si>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</si>
  <si>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</si>
  <si>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</si>
  <si>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</si>
  <si>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</si>
  <si>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</si>
  <si>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</si>
  <si>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</si>
  <si>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</si>
  <si>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</si>
  <si>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</si>
  <si>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</si>
  <si>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</si>
  <si>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</si>
  <si>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</si>
  <si>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</si>
  <si>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</si>
  <si>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</si>
  <si>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</si>
  <si>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</si>
  <si>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</si>
  <si>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</si>
  <si>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</si>
  <si>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</si>
  <si>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</si>
  <si>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</si>
  <si>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</si>
  <si>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</si>
  <si>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</si>
  <si>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</si>
  <si>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</si>
  <si>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</si>
  <si>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</si>
  <si>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</si>
  <si>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</si>
  <si>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</si>
  <si>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</si>
  <si>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</si>
  <si>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</si>
  <si>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</si>
  <si>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</si>
  <si>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</si>
  <si>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</si>
  <si>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</si>
  <si>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</si>
  <si>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</si>
  <si>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</si>
  <si>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</si>
  <si>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</si>
  <si>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</si>
  <si>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</si>
  <si>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</si>
  <si>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</si>
  <si>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</si>
  <si>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</si>
  <si>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</si>
  <si>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</si>
  <si>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</si>
  <si>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</si>
  <si>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</si>
  <si>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</si>
  <si>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</si>
  <si>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</si>
  <si>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</si>
  <si>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</si>
  <si>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</si>
  <si>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</si>
  <si>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</si>
  <si>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</si>
  <si>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</si>
  <si>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</si>
  <si>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</si>
  <si>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</si>
  <si>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</si>
  <si>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</si>
  <si>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</si>
  <si>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</si>
  <si>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</si>
  <si>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</si>
  <si>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</si>
  <si>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</si>
  <si>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</si>
  <si>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</si>
  <si>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</si>
  <si>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</si>
  <si>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</si>
  <si>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</si>
  <si>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</si>
  <si>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</si>
  <si>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</si>
  <si>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</si>
  <si>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</si>
  <si>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</si>
  <si>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</si>
  <si>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</si>
  <si>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</si>
  <si>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</si>
  <si>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</si>
  <si>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</si>
  <si>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</si>
  <si>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</si>
  <si>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</si>
  <si>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</si>
  <si>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</si>
  <si>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</si>
  <si>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</si>
  <si>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</si>
  <si>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</si>
  <si>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</si>
  <si>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</si>
  <si>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</si>
  <si>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</si>
  <si>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</si>
  <si>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</si>
  <si>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</si>
  <si>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</si>
  <si>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</si>
  <si>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</si>
  <si>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</si>
  <si>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</si>
  <si>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</si>
  <si>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</si>
  <si>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</si>
  <si>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</si>
  <si>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</si>
  <si>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</si>
  <si>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</si>
  <si>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</si>
  <si>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</si>
  <si>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</si>
  <si>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</si>
  <si>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</si>
  <si>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</si>
  <si>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</si>
  <si>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</si>
  <si>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</si>
  <si>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</si>
  <si>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</si>
  <si>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</si>
  <si>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</si>
  <si>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</si>
  <si>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</si>
  <si>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</si>
  <si>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</si>
  <si>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</si>
  <si>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</si>
  <si>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</si>
  <si>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</si>
  <si>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</si>
  <si>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</si>
  <si>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</si>
  <si>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</si>
  <si>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</si>
  <si>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</si>
  <si>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</si>
  <si>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</si>
  <si>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</si>
  <si>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</si>
  <si>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</si>
  <si>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</si>
  <si>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</si>
  <si>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</si>
  <si>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</si>
  <si>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</si>
  <si>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</si>
  <si>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</si>
  <si>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Qty Change</t>
  </si>
  <si>
    <t xml:space="preserve">Product </t>
  </si>
  <si>
    <t>Data Input</t>
  </si>
  <si>
    <t>Path</t>
  </si>
  <si>
    <t>PythonExePath</t>
  </si>
  <si>
    <t xml:space="preserve">PythonScriptPath </t>
  </si>
  <si>
    <t>ExcelDataFilePath</t>
  </si>
  <si>
    <t>SettingFilePath</t>
  </si>
  <si>
    <t>Customer_id</t>
  </si>
  <si>
    <t>5039619328</t>
  </si>
  <si>
    <t>5908 NE 112th Ave 1243637</t>
  </si>
  <si>
    <t>Pandan Gardens, Block 404, #04-24</t>
  </si>
  <si>
    <t>+65 8383 4934</t>
  </si>
  <si>
    <t>93822443</t>
  </si>
  <si>
    <t>9474 1263</t>
  </si>
  <si>
    <t>84 Sunset Way</t>
  </si>
  <si>
    <t>Qty Before</t>
  </si>
  <si>
    <t>Qty After</t>
  </si>
  <si>
    <t>5KG</t>
  </si>
  <si>
    <t>Packaging</t>
  </si>
  <si>
    <t>Misc</t>
  </si>
  <si>
    <t>Items</t>
  </si>
  <si>
    <t>Cardbox (S)</t>
  </si>
  <si>
    <t>Cardbox (M)</t>
  </si>
  <si>
    <t>Cardbox (L)</t>
  </si>
  <si>
    <t>C:\Users\user\New folder\Combined Data.xlsx</t>
  </si>
  <si>
    <t>C:\Users\user\New folder\Setting.xlsx</t>
  </si>
  <si>
    <t>"C:\Users\user\New folder\getAllData.py"</t>
  </si>
  <si>
    <t>"C:\Users\user\AppData\Local\Microsoft\WindowsApps\python3.exe"</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</si>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</sst>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0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0" fillId="0" borderId="1" xfId="0" applyBorder="1"/>
    <xf numFmtId="0" fontId="19" fillId="0" borderId="16" xfId="0" applyFont="1" applyBorder="1" applyAlignment="1">
      <alignment horizontal="center" vertical="top"/>
    </xf>
    <xf numFmtId="0" fontId="0" fillId="0" borderId="16" xfId="0" applyBorder="1"/>
    <xf numFmtId="0" fontId="21" fillId="0" borderId="16" xfId="0" applyFont="1" applyBorder="1" applyAlignment="1">
      <alignment horizontal="center" vertical="top"/>
    </xf>
    <xf numFmtId="0" fontId="0" fillId="0" borderId="0" xfId="0" applyBorder="1" applyAlignment="1"/>
    <xf numFmtId="0" fontId="0" fillId="0" borderId="19" xfId="0" applyBorder="1"/>
    <xf numFmtId="0" fontId="0" fillId="0" borderId="21" xfId="0" applyBorder="1"/>
    <xf numFmtId="0" fontId="0" fillId="27" borderId="0" xfId="0" applyFill="1" applyBorder="1"/>
    <xf numFmtId="0" fontId="0" fillId="27" borderId="20" xfId="0" applyFill="1" applyBorder="1"/>
    <xf numFmtId="0" fontId="20" fillId="0" borderId="19" xfId="0" applyFont="1" applyBorder="1"/>
    <xf numFmtId="0" fontId="0" fillId="27" borderId="14" xfId="0" applyFill="1" applyBorder="1"/>
    <xf numFmtId="0" fontId="0" fillId="27" borderId="22" xfId="0" applyFill="1" applyBorder="1"/>
    <xf numFmtId="0" fontId="20" fillId="0" borderId="19" xfId="0" applyFont="1" applyBorder="1" applyAlignment="1">
      <alignment horizontal="center"/>
    </xf>
    <xf numFmtId="0" fontId="20" fillId="0" borderId="20" xfId="0" applyFont="1" applyBorder="1" applyAlignment="1">
      <alignment horizontal="center"/>
    </xf>
    <xf numFmtId="0" fontId="20" fillId="0" borderId="0" xfId="0" applyFont="1" applyBorder="1" applyAlignment="1">
      <alignment horizontal="center"/>
    </xf>
    <xf numFmtId="0" fontId="20" fillId="0" borderId="21" xfId="0" applyFont="1" applyBorder="1"/>
    <xf numFmtId="0" fontId="0" fillId="27" borderId="0" xfId="0" applyFill="1"/>
    <xf numFmtId="22" fontId="0" fillId="0" borderId="1" xfId="0" applyNumberForma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20" fillId="0" borderId="17" xfId="0" applyFont="1" applyBorder="1" applyAlignment="1">
      <alignment horizontal="center"/>
    </xf>
    <xf numFmtId="0" fontId="20" fillId="0" borderId="18" xfId="0" applyFont="1" applyBorder="1" applyAlignment="1">
      <alignment horizontal="center"/>
    </xf>
    <xf numFmtId="0" fontId="20" fillId="0" borderId="15" xfId="0" applyFont="1" applyBorder="1" applyAlignment="1">
      <alignment horizontal="center"/>
    </xf>
    <xf numFmtId="0" fontId="0" fillId="27" borderId="20" xfId="0" applyFill="1" applyBorder="1" applyAlignment="1">
      <alignment horizontal="center"/>
    </xf>
    <xf numFmtId="0" fontId="0" fillId="27" borderId="22" xfId="0"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0" fillId="27" borderId="14" xfId="0" applyFill="1" applyBorder="1" applyAlignment="1">
      <alignment horizontal="center"/>
    </xf>
    <xf numFmtId="0" fontId="20" fillId="8" borderId="23" xfId="0" applyFont="1" applyFill="1" applyBorder="1" applyAlignment="1">
      <alignment horizontal="center"/>
    </xf>
    <xf numFmtId="0" fontId="20" fillId="8" borderId="24" xfId="0" applyFont="1" applyFill="1" applyBorder="1" applyAlignment="1">
      <alignment horizontal="center"/>
    </xf>
    <xf numFmtId="0" fontId="20" fillId="8" borderId="25"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98612</xdr:rowOff>
        </xdr:from>
        <xdr:to>
          <xdr:col>16</xdr:col>
          <xdr:colOff>0</xdr:colOff>
          <xdr:row>6</xdr:row>
          <xdr:rowOff>30480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434340</xdr:colOff>
          <xdr:row>9</xdr:row>
          <xdr:rowOff>8964</xdr:rowOff>
        </xdr:from>
        <xdr:to>
          <xdr:col>15</xdr:col>
          <xdr:colOff>594360</xdr:colOff>
          <xdr:row>10</xdr:row>
          <xdr:rowOff>160020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12</xdr:row>
          <xdr:rowOff>60960</xdr:rowOff>
        </xdr:from>
        <xdr:to>
          <xdr:col>16</xdr:col>
          <xdr:colOff>68580</xdr:colOff>
          <xdr:row>13</xdr:row>
          <xdr:rowOff>182880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Test Macro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7734375" defaultRowHeight="14.4"/>
  <cols>
    <col min="5" max="5" width="15.77734375" bestFit="1" customWidth="1"/>
    <col min="9" max="9" width="17.77734375" bestFit="1" customWidth="1"/>
    <col min="11" max="11" width="15.77734375" bestFit="1" customWidth="1"/>
    <col min="12" max="12" width="10.77734375" bestFit="1" customWidth="1"/>
    <col min="15" max="15" width="17.77734375" bestFit="1" customWidth="1"/>
    <col min="16" max="16" width="13.44140625" bestFit="1" customWidth="1"/>
  </cols>
  <sheetData>
    <row r="1" spans="1:18" ht="19.8">
      <c r="A1" s="268" t="s">
        <v>12005</v>
      </c>
      <c r="B1" s="269"/>
      <c r="C1" s="269"/>
      <c r="D1" s="269"/>
      <c r="E1" s="269"/>
      <c r="F1" s="269"/>
      <c r="G1" s="269"/>
      <c r="H1" s="269"/>
      <c r="I1" s="269"/>
      <c r="J1" s="269"/>
      <c r="K1" s="269"/>
      <c r="L1" s="269"/>
      <c r="M1" s="269"/>
      <c r="N1" s="269"/>
      <c r="O1" s="269"/>
      <c r="P1" s="269"/>
      <c r="Q1" s="269"/>
      <c r="R1" s="269"/>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70" t="s">
        <v>12008</v>
      </c>
      <c r="B4" s="270"/>
      <c r="C4" s="270"/>
      <c r="D4" s="270"/>
      <c r="E4" s="270"/>
      <c r="F4" s="270"/>
      <c r="G4" s="270"/>
      <c r="H4" s="270"/>
      <c r="I4" s="270"/>
      <c r="J4" s="270"/>
      <c r="K4" s="270"/>
      <c r="L4" s="270"/>
      <c r="M4" s="270"/>
      <c r="N4" s="270"/>
      <c r="O4" s="270"/>
      <c r="P4" t="s">
        <v>12007</v>
      </c>
    </row>
    <row r="5" spans="1:18">
      <c r="A5" s="271"/>
      <c r="B5" s="271"/>
      <c r="C5" s="271"/>
      <c r="D5" s="271"/>
      <c r="E5" s="271"/>
      <c r="F5" s="271"/>
      <c r="G5" s="271"/>
      <c r="H5" s="271"/>
      <c r="I5" s="271"/>
      <c r="J5" s="271"/>
      <c r="K5" s="271"/>
      <c r="L5" s="271"/>
      <c r="M5" s="271"/>
      <c r="N5" s="271"/>
      <c r="O5" s="271"/>
    </row>
    <row r="6" spans="1:18">
      <c r="A6" s="271"/>
      <c r="B6" s="271"/>
      <c r="C6" s="271"/>
      <c r="D6" s="271"/>
      <c r="E6" s="271"/>
      <c r="F6" s="271"/>
      <c r="G6" s="271"/>
      <c r="H6" s="271"/>
      <c r="I6" s="271"/>
      <c r="J6" s="271"/>
      <c r="K6" s="271"/>
      <c r="L6" s="271"/>
      <c r="M6" s="271"/>
      <c r="N6" s="271"/>
      <c r="O6" s="271"/>
    </row>
    <row r="7" spans="1:18">
      <c r="A7" s="271"/>
      <c r="B7" s="271"/>
      <c r="C7" s="271"/>
      <c r="D7" s="271"/>
      <c r="E7" s="271"/>
      <c r="F7" s="271"/>
      <c r="G7" s="271"/>
      <c r="H7" s="271"/>
      <c r="I7" s="271"/>
      <c r="J7" s="271"/>
      <c r="K7" s="271"/>
      <c r="L7" s="271"/>
      <c r="M7" s="271"/>
      <c r="N7" s="271"/>
      <c r="O7" s="271"/>
    </row>
    <row r="8" spans="1:18">
      <c r="A8" s="271"/>
      <c r="B8" s="271"/>
      <c r="C8" s="271"/>
      <c r="D8" s="271"/>
      <c r="E8" s="271"/>
      <c r="F8" s="271"/>
      <c r="G8" s="271"/>
      <c r="H8" s="271"/>
      <c r="I8" s="271"/>
      <c r="J8" s="271"/>
      <c r="K8" s="271"/>
      <c r="L8" s="271"/>
      <c r="M8" s="271"/>
      <c r="N8" s="271"/>
      <c r="O8" s="271"/>
    </row>
    <row r="9" spans="1:18">
      <c r="A9" s="271"/>
      <c r="B9" s="271"/>
      <c r="C9" s="271"/>
      <c r="D9" s="271"/>
      <c r="E9" s="271"/>
      <c r="F9" s="271"/>
      <c r="G9" s="271"/>
      <c r="H9" s="271"/>
      <c r="I9" s="271"/>
      <c r="J9" s="271"/>
      <c r="K9" s="271"/>
      <c r="L9" s="271"/>
      <c r="M9" s="271"/>
      <c r="N9" s="271"/>
      <c r="O9" s="271"/>
    </row>
    <row r="10" spans="1:18">
      <c r="A10" s="271"/>
      <c r="B10" s="271"/>
      <c r="C10" s="271"/>
      <c r="D10" s="271"/>
      <c r="E10" s="271"/>
      <c r="F10" s="271"/>
      <c r="G10" s="271"/>
      <c r="H10" s="271"/>
      <c r="I10" s="271"/>
      <c r="J10" s="271"/>
      <c r="K10" s="271"/>
      <c r="L10" s="271"/>
      <c r="M10" s="271"/>
      <c r="N10" s="271"/>
      <c r="O10" s="271"/>
    </row>
    <row r="11" spans="1:18">
      <c r="A11" s="271"/>
      <c r="B11" s="271"/>
      <c r="C11" s="271"/>
      <c r="D11" s="271"/>
      <c r="E11" s="271"/>
      <c r="F11" s="271"/>
      <c r="G11" s="271"/>
      <c r="H11" s="271"/>
      <c r="I11" s="271"/>
      <c r="J11" s="271"/>
      <c r="K11" s="271"/>
      <c r="L11" s="271"/>
      <c r="M11" s="271"/>
      <c r="N11" s="271"/>
      <c r="O11" s="271"/>
    </row>
    <row r="12" spans="1:18">
      <c r="A12" s="271"/>
      <c r="B12" s="271"/>
      <c r="C12" s="271"/>
      <c r="D12" s="271"/>
      <c r="E12" s="271"/>
      <c r="F12" s="271"/>
      <c r="G12" s="271"/>
      <c r="H12" s="271"/>
      <c r="I12" s="271"/>
      <c r="J12" s="271"/>
      <c r="K12" s="271"/>
      <c r="L12" s="271"/>
      <c r="M12" s="271"/>
      <c r="N12" s="271"/>
      <c r="O12" s="271"/>
    </row>
    <row r="13" spans="1:18">
      <c r="A13" s="271"/>
      <c r="B13" s="271"/>
      <c r="C13" s="271"/>
      <c r="D13" s="271"/>
      <c r="E13" s="271"/>
      <c r="F13" s="271"/>
      <c r="G13" s="271"/>
      <c r="H13" s="271"/>
      <c r="I13" s="271"/>
      <c r="J13" s="271"/>
      <c r="K13" s="271"/>
      <c r="L13" s="271"/>
      <c r="M13" s="271"/>
      <c r="N13" s="271"/>
      <c r="O13" s="271"/>
    </row>
    <row r="14" spans="1:18">
      <c r="A14" s="271"/>
      <c r="B14" s="271"/>
      <c r="C14" s="271"/>
      <c r="D14" s="271"/>
      <c r="E14" s="271"/>
      <c r="F14" s="271"/>
      <c r="G14" s="271"/>
      <c r="H14" s="271"/>
      <c r="I14" s="271"/>
      <c r="J14" s="271"/>
      <c r="K14" s="271"/>
      <c r="L14" s="271"/>
      <c r="M14" s="271"/>
      <c r="N14" s="271"/>
      <c r="O14" s="271"/>
    </row>
    <row r="15" spans="1:18">
      <c r="A15" s="271"/>
      <c r="B15" s="271"/>
      <c r="C15" s="271"/>
      <c r="D15" s="271"/>
      <c r="E15" s="271"/>
      <c r="F15" s="271"/>
      <c r="G15" s="271"/>
      <c r="H15" s="271"/>
      <c r="I15" s="271"/>
      <c r="J15" s="271"/>
      <c r="K15" s="271"/>
      <c r="L15" s="271"/>
      <c r="M15" s="271"/>
      <c r="N15" s="271"/>
      <c r="O15" s="271"/>
    </row>
    <row r="16" spans="1:18">
      <c r="A16" s="271"/>
      <c r="B16" s="271"/>
      <c r="C16" s="271"/>
      <c r="D16" s="271"/>
      <c r="E16" s="271"/>
      <c r="F16" s="271"/>
      <c r="G16" s="271"/>
      <c r="H16" s="271"/>
      <c r="I16" s="271"/>
      <c r="J16" s="271"/>
      <c r="K16" s="271"/>
      <c r="L16" s="271"/>
      <c r="M16" s="271"/>
      <c r="N16" s="271"/>
      <c r="O16" s="271"/>
    </row>
    <row r="17" spans="1:27">
      <c r="A17" s="271"/>
      <c r="B17" s="271"/>
      <c r="C17" s="271"/>
      <c r="D17" s="271"/>
      <c r="E17" s="271"/>
      <c r="F17" s="271"/>
      <c r="G17" s="271"/>
      <c r="H17" s="271"/>
      <c r="I17" s="271"/>
      <c r="J17" s="271"/>
      <c r="K17" s="271"/>
      <c r="L17" s="271"/>
      <c r="M17" s="271"/>
      <c r="N17" s="271"/>
      <c r="O17" s="271"/>
    </row>
    <row r="18" spans="1:27">
      <c r="A18" s="271"/>
      <c r="B18" s="271"/>
      <c r="C18" s="271"/>
      <c r="D18" s="271"/>
      <c r="E18" s="271"/>
      <c r="F18" s="271"/>
      <c r="G18" s="271"/>
      <c r="H18" s="271"/>
      <c r="I18" s="271"/>
      <c r="J18" s="271"/>
      <c r="K18" s="271"/>
      <c r="L18" s="271"/>
      <c r="M18" s="271"/>
      <c r="N18" s="271"/>
      <c r="O18" s="271"/>
    </row>
    <row r="19" spans="1:27">
      <c r="A19" s="246"/>
      <c r="B19" s="246"/>
      <c r="C19" s="246"/>
      <c r="D19" s="246"/>
      <c r="E19" s="246"/>
      <c r="F19" s="246"/>
      <c r="G19" s="246"/>
      <c r="H19" s="246"/>
      <c r="I19" s="246"/>
      <c r="J19" s="246"/>
      <c r="K19" s="246"/>
      <c r="L19" s="246"/>
      <c r="M19" s="246"/>
      <c r="N19" s="246"/>
      <c r="O19" s="246"/>
    </row>
    <row r="20" spans="1:27">
      <c r="A20" s="271" t="s">
        <v>0</v>
      </c>
      <c r="B20" s="271"/>
      <c r="C20" s="271"/>
      <c r="D20" s="271"/>
      <c r="E20" s="271"/>
      <c r="F20" s="271"/>
      <c r="G20" s="271"/>
      <c r="H20" s="271"/>
      <c r="I20" s="271"/>
      <c r="J20" s="271"/>
      <c r="K20" s="271"/>
      <c r="L20" s="271"/>
      <c r="M20" s="271"/>
      <c r="N20" s="271"/>
      <c r="O20" s="271"/>
    </row>
    <row r="21" spans="1:27">
      <c r="A21" s="271"/>
      <c r="B21" s="271"/>
      <c r="C21" s="271"/>
      <c r="D21" s="271"/>
      <c r="E21" s="271"/>
      <c r="F21" s="271"/>
      <c r="G21" s="271"/>
      <c r="H21" s="271"/>
      <c r="I21" s="271"/>
      <c r="J21" s="271"/>
      <c r="K21" s="271"/>
      <c r="L21" s="271"/>
      <c r="M21" s="271"/>
      <c r="N21" s="271"/>
      <c r="O21" s="271"/>
    </row>
    <row r="22" spans="1:27">
      <c r="A22" s="246" t="s">
        <v>14062</v>
      </c>
      <c r="B22" s="246"/>
      <c r="D22" s="246"/>
      <c r="E22" s="246"/>
      <c r="F22" s="246"/>
      <c r="G22" s="246"/>
      <c r="H22" s="246"/>
      <c r="I22" s="246"/>
      <c r="J22" s="246"/>
      <c r="K22" s="246"/>
      <c r="L22" s="246"/>
    </row>
    <row r="24" spans="1:27">
      <c r="A24" s="272" t="s">
        <v>14054</v>
      </c>
      <c r="B24" s="272"/>
      <c r="C24" s="272"/>
      <c r="D24" t="s">
        <v>14053</v>
      </c>
      <c r="E24" t="s">
        <v>12</v>
      </c>
    </row>
    <row r="25" spans="1:27">
      <c r="A25" s="272" t="s">
        <v>14055</v>
      </c>
      <c r="B25" s="272" t="s">
        <v>14056</v>
      </c>
      <c r="C25" s="244"/>
    </row>
    <row r="26" spans="1:27">
      <c r="A26" s="272"/>
      <c r="B26" s="272"/>
      <c r="C26" s="244"/>
    </row>
    <row r="27" spans="1:27">
      <c r="A27" s="272"/>
      <c r="B27" s="272"/>
      <c r="C27" s="244"/>
    </row>
    <row r="28" spans="1:27">
      <c r="A28" s="272"/>
      <c r="B28" t="s">
        <v>14057</v>
      </c>
      <c r="C28" t="s">
        <v>14058</v>
      </c>
      <c r="D28" s="248" t="s">
        <v>12211</v>
      </c>
      <c r="E28" s="248"/>
    </row>
    <row r="29" spans="1:27">
      <c r="A29" s="272"/>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c r="D30" s="248" t="s">
        <v>12213</v>
      </c>
    </row>
    <row r="31" spans="1:27">
      <c r="D31" s="248" t="s">
        <v>12214</v>
      </c>
    </row>
    <row r="32" spans="1:27">
      <c r="D32" s="248" t="s">
        <v>12215</v>
      </c>
    </row>
    <row r="33" spans="3:4">
      <c r="D33" s="248" t="s">
        <v>12216</v>
      </c>
    </row>
    <row r="34" spans="3:4">
      <c r="D34" s="248" t="s">
        <v>12217</v>
      </c>
    </row>
    <row r="35" spans="3:4">
      <c r="D35" s="248" t="s">
        <v>12218</v>
      </c>
    </row>
    <row r="36" spans="3:4">
      <c r="C36" t="s">
        <v>14059</v>
      </c>
      <c r="D36" s="248" t="s">
        <v>12219</v>
      </c>
    </row>
    <row r="37" spans="3:4">
      <c r="D37" s="248" t="s">
        <v>12220</v>
      </c>
    </row>
    <row r="38" spans="3:4">
      <c r="D38" s="248" t="s">
        <v>12221</v>
      </c>
    </row>
    <row r="39" spans="3:4">
      <c r="D39" s="248" t="s">
        <v>12222</v>
      </c>
    </row>
    <row r="40" spans="3:4">
      <c r="D40" s="248" t="s">
        <v>12223</v>
      </c>
    </row>
    <row r="41" spans="3:4">
      <c r="D41" s="248" t="s">
        <v>12224</v>
      </c>
    </row>
    <row r="42" spans="3:4">
      <c r="D42" s="248" t="s">
        <v>12225</v>
      </c>
    </row>
    <row r="43" spans="3:4">
      <c r="D43" s="248" t="s">
        <v>12226</v>
      </c>
    </row>
    <row r="44" spans="3:4">
      <c r="C44" t="s">
        <v>14060</v>
      </c>
      <c r="D44" s="248" t="s">
        <v>12227</v>
      </c>
    </row>
    <row r="45" spans="3:4">
      <c r="D45" s="248" t="s">
        <v>12228</v>
      </c>
    </row>
    <row r="46" spans="3:4">
      <c r="D46" s="248" t="s">
        <v>12229</v>
      </c>
    </row>
    <row r="47" spans="3:4">
      <c r="D47" s="248" t="s">
        <v>12230</v>
      </c>
    </row>
    <row r="48" spans="3:4">
      <c r="D48" s="248" t="s">
        <v>12231</v>
      </c>
    </row>
    <row r="49" spans="3:4">
      <c r="D49" s="248" t="s">
        <v>12232</v>
      </c>
    </row>
    <row r="50" spans="3:4">
      <c r="D50" s="248" t="s">
        <v>12233</v>
      </c>
    </row>
    <row r="51" spans="3:4">
      <c r="D51" s="248" t="s">
        <v>12234</v>
      </c>
    </row>
    <row r="52" spans="3:4">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activeCell="E24" sqref="E24"/>
    </sheetView>
  </sheetViews>
  <sheetFormatPr defaultColWidth="8.77734375" defaultRowHeight="14.4"/>
  <sheetData>
    <row r="1" spans="1:3">
      <c r="A1" t="s">
        <v>14054</v>
      </c>
      <c r="B1" t="s">
        <v>14053</v>
      </c>
      <c r="C1"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C6" sqref="C6"/>
    </sheetView>
  </sheetViews>
  <sheetFormatPr defaultColWidth="10.88671875" defaultRowHeight="14.4"/>
  <cols>
    <col min="1" max="1" width="15" bestFit="1" customWidth="1"/>
  </cols>
  <sheetData>
    <row r="1" spans="1:2">
      <c r="A1" t="s">
        <v>11999</v>
      </c>
      <c r="B1" t="s">
        <v>14066</v>
      </c>
    </row>
    <row r="2" spans="1:2">
      <c r="A2" t="s">
        <v>14067</v>
      </c>
      <c r="B2" t="s">
        <v>14091</v>
      </c>
    </row>
    <row r="3" spans="1:2">
      <c r="A3" t="s">
        <v>14068</v>
      </c>
      <c r="B3" t="s">
        <v>14090</v>
      </c>
    </row>
    <row r="4" spans="1:2">
      <c r="A4" t="s">
        <v>14069</v>
      </c>
      <c r="B4" t="s">
        <v>14088</v>
      </c>
    </row>
    <row r="5" spans="1:2">
      <c r="A5" t="s">
        <v>14070</v>
      </c>
      <c r="B5" t="s">
        <v>14089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3:V29"/>
  <sheetViews>
    <sheetView tabSelected="1" topLeftCell="D1" zoomScale="90" zoomScaleNormal="90" workbookViewId="0">
      <selection activeCell="T6" sqref="T6"/>
    </sheetView>
  </sheetViews>
  <sheetFormatPr defaultColWidth="8.77734375" defaultRowHeight="14.4"/>
  <cols>
    <col min="1" max="1" width="2.77734375" customWidth="1"/>
    <col min="2" max="2" width="14.44140625" bestFit="1" customWidth="1"/>
    <col min="3" max="6" width="7.5546875" customWidth="1"/>
    <col min="7" max="7" width="5.33203125" customWidth="1"/>
    <col min="8" max="8" width="4.44140625" customWidth="1"/>
    <col min="9" max="11" width="7.5546875" customWidth="1"/>
    <col min="12" max="12" width="6.5546875" customWidth="1"/>
    <col min="13" max="13" width="11.88671875" bestFit="1" customWidth="1"/>
    <col min="14" max="14" width="8.77734375" customWidth="1"/>
    <col min="18" max="18" width="16" bestFit="1" customWidth="1"/>
    <col min="19" max="19" width="13.88671875" bestFit="1" customWidth="1"/>
    <col min="20" max="20" width="10.21875" bestFit="1" customWidth="1"/>
    <col min="21" max="21" width="11" bestFit="1" customWidth="1"/>
    <col min="22" max="22" width="9" bestFit="1" customWidth="1"/>
  </cols>
  <sheetData>
    <row r="3" spans="1:22" ht="15" thickBot="1">
      <c r="A3" s="249"/>
      <c r="B3" s="249"/>
      <c r="C3" s="249"/>
      <c r="D3" s="249"/>
      <c r="E3" s="249"/>
      <c r="R3" s="297" t="s">
        <v>14065</v>
      </c>
      <c r="S3" s="298"/>
      <c r="T3" s="298"/>
      <c r="U3" s="298"/>
      <c r="V3" s="299"/>
    </row>
    <row r="4" spans="1:22">
      <c r="A4" s="249"/>
      <c r="B4" s="273" t="s">
        <v>14055</v>
      </c>
      <c r="C4" s="275"/>
      <c r="D4" s="275"/>
      <c r="E4" s="275"/>
      <c r="F4" s="274"/>
      <c r="H4" s="273" t="s">
        <v>14082</v>
      </c>
      <c r="I4" s="275"/>
      <c r="J4" s="275"/>
      <c r="K4" s="274"/>
      <c r="L4" s="254"/>
      <c r="M4" s="273" t="s">
        <v>14083</v>
      </c>
      <c r="N4" s="274"/>
      <c r="R4" s="250" t="s">
        <v>10</v>
      </c>
      <c r="S4" s="250" t="s">
        <v>14064</v>
      </c>
      <c r="T4" s="252" t="s">
        <v>14079</v>
      </c>
      <c r="U4" s="250" t="s">
        <v>14063</v>
      </c>
      <c r="V4" s="250" t="s">
        <v>14080</v>
      </c>
    </row>
    <row r="5" spans="1:22">
      <c r="A5" s="249"/>
      <c r="B5" s="259"/>
      <c r="C5" s="264" t="s">
        <v>14058</v>
      </c>
      <c r="D5" s="264" t="s">
        <v>14059</v>
      </c>
      <c r="E5" s="264" t="s">
        <v>14060</v>
      </c>
      <c r="F5" s="263" t="s">
        <v>14081</v>
      </c>
      <c r="H5" s="259"/>
      <c r="I5" s="264" t="s">
        <v>14058</v>
      </c>
      <c r="J5" s="264" t="s">
        <v>14059</v>
      </c>
      <c r="K5" s="263" t="s">
        <v>14060</v>
      </c>
      <c r="M5" s="262" t="s">
        <v>14084</v>
      </c>
      <c r="N5" s="263" t="s">
        <v>12</v>
      </c>
      <c r="R5" s="267">
        <f ca="1">NOW()</f>
        <v>44711.830798495372</v>
      </c>
      <c r="S5" s="247" t="s">
        <v>12211</v>
      </c>
      <c r="T5" s="253"/>
      <c r="U5" s="253"/>
      <c r="V5" s="250"/>
    </row>
    <row r="6" spans="1:22">
      <c r="A6" s="249"/>
      <c r="B6" s="259" t="s">
        <v>11990</v>
      </c>
      <c r="C6" s="257"/>
      <c r="D6" s="257"/>
      <c r="E6" s="257"/>
      <c r="F6" s="258"/>
      <c r="H6" s="259" t="s">
        <v>11990</v>
      </c>
      <c r="I6" s="257"/>
      <c r="J6" s="257"/>
      <c r="K6" s="276"/>
      <c r="M6" s="259" t="s">
        <v>14085</v>
      </c>
      <c r="N6" s="258"/>
      <c r="R6" s="267">
        <f ca="1">NOW()</f>
        <v>44711.830798495372</v>
      </c>
      <c r="S6" s="247" t="s">
        <v>12212</v>
      </c>
      <c r="T6" s="253"/>
      <c r="U6" s="253"/>
      <c r="V6" s="250"/>
    </row>
    <row r="7" spans="1:22">
      <c r="A7" s="249"/>
      <c r="B7" s="259" t="s">
        <v>11989</v>
      </c>
      <c r="C7" s="257"/>
      <c r="D7" s="257"/>
      <c r="E7" s="257"/>
      <c r="F7" s="258"/>
      <c r="H7" s="259" t="s">
        <v>11989</v>
      </c>
      <c r="I7" s="257"/>
      <c r="J7" s="257"/>
      <c r="K7" s="276"/>
      <c r="M7" s="259" t="s">
        <v>14086</v>
      </c>
      <c r="N7" s="258"/>
      <c r="R7" s="267">
        <f t="shared" ref="R7:R29" ca="1" si="0">NOW()</f>
        <v>44711.830798495372</v>
      </c>
      <c r="S7" s="247" t="s">
        <v>12213</v>
      </c>
      <c r="T7" s="253"/>
      <c r="U7" s="253"/>
      <c r="V7" s="250"/>
    </row>
    <row r="8" spans="1:22">
      <c r="A8" s="249"/>
      <c r="B8" s="259" t="s">
        <v>9</v>
      </c>
      <c r="C8" s="257"/>
      <c r="D8" s="257"/>
      <c r="E8" s="257"/>
      <c r="F8" s="258"/>
      <c r="H8" s="259" t="s">
        <v>9</v>
      </c>
      <c r="I8" s="257"/>
      <c r="J8" s="257"/>
      <c r="K8" s="276"/>
      <c r="M8" s="259" t="s">
        <v>14087</v>
      </c>
      <c r="N8" s="258"/>
      <c r="R8" s="267">
        <f t="shared" ca="1" si="0"/>
        <v>44711.830798495372</v>
      </c>
      <c r="S8" s="247" t="s">
        <v>12214</v>
      </c>
      <c r="T8" s="253"/>
      <c r="U8" s="253"/>
      <c r="V8" s="250"/>
    </row>
    <row r="9" spans="1:22">
      <c r="A9" s="249"/>
      <c r="B9" s="259" t="s">
        <v>8</v>
      </c>
      <c r="C9" s="257"/>
      <c r="D9" s="257"/>
      <c r="E9" s="266"/>
      <c r="F9" s="258"/>
      <c r="H9" s="259" t="s">
        <v>8</v>
      </c>
      <c r="I9" s="257"/>
      <c r="J9" s="257"/>
      <c r="K9" s="276"/>
      <c r="M9" s="255"/>
      <c r="N9" s="258"/>
      <c r="R9" s="267">
        <f t="shared" ca="1" si="0"/>
        <v>44711.830798495372</v>
      </c>
      <c r="S9" s="247" t="s">
        <v>12215</v>
      </c>
      <c r="T9" s="253"/>
      <c r="U9" s="253"/>
      <c r="V9" s="250"/>
    </row>
    <row r="10" spans="1:22">
      <c r="A10" s="249"/>
      <c r="B10" s="259" t="s">
        <v>11988</v>
      </c>
      <c r="C10" s="257"/>
      <c r="D10" s="257"/>
      <c r="E10" s="257"/>
      <c r="F10" s="258"/>
      <c r="H10" s="259" t="s">
        <v>11988</v>
      </c>
      <c r="I10" s="257"/>
      <c r="J10" s="257"/>
      <c r="K10" s="276"/>
      <c r="M10" s="255"/>
      <c r="N10" s="258"/>
      <c r="R10" s="267">
        <f t="shared" ca="1" si="0"/>
        <v>44711.830798495372</v>
      </c>
      <c r="S10" s="247" t="s">
        <v>12216</v>
      </c>
      <c r="T10" s="253"/>
      <c r="U10" s="253"/>
      <c r="V10" s="250"/>
    </row>
    <row r="11" spans="1:22">
      <c r="A11" s="249"/>
      <c r="B11" s="259" t="s">
        <v>11987</v>
      </c>
      <c r="C11" s="257"/>
      <c r="D11" s="257"/>
      <c r="E11" s="257"/>
      <c r="F11" s="258"/>
      <c r="H11" s="259" t="s">
        <v>11987</v>
      </c>
      <c r="I11" s="257"/>
      <c r="J11" s="257"/>
      <c r="K11" s="276"/>
      <c r="M11" s="255"/>
      <c r="N11" s="258"/>
      <c r="R11" s="267">
        <f t="shared" ca="1" si="0"/>
        <v>44711.830798495372</v>
      </c>
      <c r="S11" s="247" t="s">
        <v>12217</v>
      </c>
      <c r="T11" s="253"/>
      <c r="U11" s="253"/>
      <c r="V11" s="250"/>
    </row>
    <row r="12" spans="1:22">
      <c r="A12" s="249"/>
      <c r="B12" s="259" t="s">
        <v>11986</v>
      </c>
      <c r="C12" s="257"/>
      <c r="D12" s="257"/>
      <c r="E12" s="257"/>
      <c r="F12" s="258"/>
      <c r="H12" s="259" t="s">
        <v>11986</v>
      </c>
      <c r="I12" s="257"/>
      <c r="J12" s="257"/>
      <c r="K12" s="276"/>
      <c r="M12" s="255"/>
      <c r="N12" s="258"/>
      <c r="R12" s="267">
        <f t="shared" ca="1" si="0"/>
        <v>44711.830798495372</v>
      </c>
      <c r="S12" s="247" t="s">
        <v>12218</v>
      </c>
      <c r="T12" s="253"/>
      <c r="U12" s="253"/>
      <c r="V12" s="250"/>
    </row>
    <row r="13" spans="1:22" ht="15" thickBot="1">
      <c r="A13" s="249"/>
      <c r="B13" s="259" t="s">
        <v>11985</v>
      </c>
      <c r="C13" s="257"/>
      <c r="D13" s="257"/>
      <c r="E13" s="257"/>
      <c r="F13" s="258"/>
      <c r="H13" s="265" t="s">
        <v>11985</v>
      </c>
      <c r="I13" s="260"/>
      <c r="J13" s="260"/>
      <c r="K13" s="277"/>
      <c r="M13" s="256"/>
      <c r="N13" s="261"/>
      <c r="R13" s="267">
        <f t="shared" ca="1" si="0"/>
        <v>44711.830798495372</v>
      </c>
      <c r="S13" s="247" t="s">
        <v>12219</v>
      </c>
      <c r="T13" s="253"/>
      <c r="U13" s="253"/>
      <c r="V13" s="250"/>
    </row>
    <row r="14" spans="1:22" ht="15" thickBot="1">
      <c r="A14" s="249"/>
      <c r="B14" s="265" t="s">
        <v>12235</v>
      </c>
      <c r="C14" s="296">
        <v>35</v>
      </c>
      <c r="D14" s="296"/>
      <c r="E14" s="296"/>
      <c r="F14" s="277"/>
      <c r="R14" s="267">
        <f t="shared" ca="1" si="0"/>
        <v>44711.830798495372</v>
      </c>
      <c r="S14" s="247" t="s">
        <v>12220</v>
      </c>
      <c r="T14" s="253"/>
      <c r="U14" s="253"/>
      <c r="V14" s="250"/>
    </row>
    <row r="15" spans="1:22">
      <c r="A15" s="249"/>
      <c r="B15" s="249"/>
      <c r="C15" s="249"/>
      <c r="D15" s="249"/>
      <c r="E15" s="249"/>
      <c r="R15" s="267">
        <f t="shared" ca="1" si="0"/>
        <v>44711.830798495372</v>
      </c>
      <c r="S15" s="247" t="s">
        <v>12221</v>
      </c>
      <c r="T15" s="253"/>
      <c r="U15" s="253"/>
      <c r="V15" s="250"/>
    </row>
    <row r="16" spans="1:22">
      <c r="A16" s="249"/>
      <c r="B16" s="249"/>
      <c r="C16" s="249"/>
      <c r="D16" s="249"/>
      <c r="E16" s="249"/>
      <c r="R16" s="267">
        <f t="shared" ca="1" si="0"/>
        <v>44711.830798495372</v>
      </c>
      <c r="S16" s="247" t="s">
        <v>12222</v>
      </c>
      <c r="T16" s="253"/>
      <c r="U16" s="253"/>
      <c r="V16" s="250"/>
    </row>
    <row r="17" spans="18:22">
      <c r="R17" s="267">
        <f t="shared" ca="1" si="0"/>
        <v>44711.830798495372</v>
      </c>
      <c r="S17" s="247" t="s">
        <v>12223</v>
      </c>
      <c r="T17" s="253"/>
      <c r="U17" s="253"/>
      <c r="V17" s="250"/>
    </row>
    <row r="18" spans="18:22">
      <c r="R18" s="267">
        <f t="shared" ca="1" si="0"/>
        <v>44711.830798495372</v>
      </c>
      <c r="S18" s="247" t="s">
        <v>12224</v>
      </c>
      <c r="T18" s="253"/>
      <c r="U18" s="253"/>
      <c r="V18" s="250"/>
    </row>
    <row r="19" spans="18:22">
      <c r="R19" s="267">
        <f t="shared" ca="1" si="0"/>
        <v>44711.830798495372</v>
      </c>
      <c r="S19" s="247" t="s">
        <v>12225</v>
      </c>
      <c r="T19" s="253"/>
      <c r="U19" s="253"/>
      <c r="V19" s="250"/>
    </row>
    <row r="20" spans="18:22">
      <c r="R20" s="267">
        <f t="shared" ca="1" si="0"/>
        <v>44711.830798495372</v>
      </c>
      <c r="S20" s="247" t="s">
        <v>12226</v>
      </c>
      <c r="T20" s="253"/>
      <c r="U20" s="253"/>
      <c r="V20" s="250"/>
    </row>
    <row r="21" spans="18:22">
      <c r="R21" s="267">
        <f t="shared" ca="1" si="0"/>
        <v>44711.830798495372</v>
      </c>
      <c r="S21" s="247" t="s">
        <v>12227</v>
      </c>
      <c r="T21" s="253"/>
      <c r="U21" s="253"/>
      <c r="V21" s="250"/>
    </row>
    <row r="22" spans="18:22">
      <c r="R22" s="267">
        <f t="shared" ca="1" si="0"/>
        <v>44711.830798495372</v>
      </c>
      <c r="S22" s="247" t="s">
        <v>12228</v>
      </c>
      <c r="T22" s="253"/>
      <c r="U22" s="253"/>
      <c r="V22" s="250"/>
    </row>
    <row r="23" spans="18:22">
      <c r="R23" s="267">
        <f t="shared" ca="1" si="0"/>
        <v>44711.830798495372</v>
      </c>
      <c r="S23" s="247" t="s">
        <v>12229</v>
      </c>
      <c r="T23" s="253"/>
      <c r="U23" s="253"/>
      <c r="V23" s="250"/>
    </row>
    <row r="24" spans="18:22">
      <c r="R24" s="267">
        <f t="shared" ca="1" si="0"/>
        <v>44711.830798495372</v>
      </c>
      <c r="S24" s="247" t="s">
        <v>12230</v>
      </c>
      <c r="T24" s="253"/>
      <c r="U24" s="253"/>
      <c r="V24" s="250"/>
    </row>
    <row r="25" spans="18:22">
      <c r="R25" s="267">
        <f t="shared" ca="1" si="0"/>
        <v>44711.830798495372</v>
      </c>
      <c r="S25" s="247" t="s">
        <v>12231</v>
      </c>
      <c r="T25" s="253"/>
      <c r="U25" s="253"/>
      <c r="V25" s="250"/>
    </row>
    <row r="26" spans="18:22">
      <c r="R26" s="267">
        <f t="shared" ca="1" si="0"/>
        <v>44711.830798495372</v>
      </c>
      <c r="S26" s="247" t="s">
        <v>12232</v>
      </c>
      <c r="T26" s="253"/>
      <c r="U26" s="253"/>
      <c r="V26" s="250"/>
    </row>
    <row r="27" spans="18:22">
      <c r="R27" s="267">
        <f t="shared" ca="1" si="0"/>
        <v>44711.830798495372</v>
      </c>
      <c r="S27" s="247" t="s">
        <v>12233</v>
      </c>
      <c r="T27" s="253"/>
      <c r="U27" s="253"/>
      <c r="V27" s="250"/>
    </row>
    <row r="28" spans="18:22">
      <c r="R28" s="267">
        <f t="shared" ca="1" si="0"/>
        <v>44711.830798495372</v>
      </c>
      <c r="S28" s="247" t="s">
        <v>12234</v>
      </c>
      <c r="T28" s="253"/>
      <c r="U28" s="253"/>
      <c r="V28" s="250"/>
    </row>
    <row r="29" spans="18:22">
      <c r="R29" s="267">
        <f t="shared" ca="1" si="0"/>
        <v>44711.830798495372</v>
      </c>
      <c r="S29" s="247" t="s">
        <v>12235</v>
      </c>
      <c r="T29" s="253"/>
      <c r="U29" s="253"/>
      <c r="V29" s="250"/>
    </row>
  </sheetData>
  <mergeCells count="6">
    <mergeCell ref="R3:V3"/>
    <mergeCell ref="M4:N4"/>
    <mergeCell ref="B4:F4"/>
    <mergeCell ref="H4:K4"/>
    <mergeCell ref="K6:K13"/>
    <mergeCell ref="C14:F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Sheet5.record">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9221" r:id="rId4" name="Button 5">
              <controlPr defaultSize="0" print="0" autoFill="0" autoPict="0">
                <anchor moveWithCells="1" sizeWithCells="1">
                  <from>
                    <xdr:col>14</xdr:col>
                    <xdr:colOff>434340</xdr:colOff>
                    <xdr:row>9</xdr:row>
                    <xdr:rowOff>7620</xdr:rowOff>
                  </from>
                  <to>
                    <xdr:col>15</xdr:col>
                    <xdr:colOff>594360</xdr:colOff>
                    <xdr:row>10</xdr:row>
                    <xdr:rowOff>160020</xdr:rowOff>
                  </to>
                </anchor>
              </controlPr>
            </control>
          </mc:Choice>
        </mc:AlternateContent>
        <mc:AlternateContent xmlns:mc="http://schemas.openxmlformats.org/markup-compatibility/2006">
          <mc:Choice Requires="x14">
            <control shapeId="9222" r:id="rId5" name="Button 6">
              <controlPr defaultSize="0" print="0" autoFill="0" autoPict="0" macro="[0]!Sheet5.testing">
                <anchor moveWithCells="1" sizeWithCells="1">
                  <from>
                    <xdr:col>14</xdr:col>
                    <xdr:colOff>495300</xdr:colOff>
                    <xdr:row>12</xdr:row>
                    <xdr:rowOff>60960</xdr:rowOff>
                  </from>
                  <to>
                    <xdr:col>16</xdr:col>
                    <xdr:colOff>68580</xdr:colOff>
                    <xdr:row>13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7A053-62CC-4E6A-9141-11D544347E03}">
  <sheetPr codeName="Sheet8"/>
  <dimension ref="A1"/>
  <sheetViews>
    <sheetView workbookViewId="0"/>
  </sheetViews>
  <sheetFormatPr defaultRowHeight="14.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 activePane="bottomLeft" state="frozen"/>
      <selection pane="bottomLeft" activeCell="B128" sqref="B128"/>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218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12000</v>
      </c>
      <c r="B1" s="243" t="s">
        <v>11999</v>
      </c>
      <c r="C1" s="239" t="s">
        <v>11998</v>
      </c>
      <c r="D1" s="241" t="s">
        <v>11997</v>
      </c>
      <c r="E1" s="241" t="s">
        <v>11996</v>
      </c>
      <c r="F1" s="240" t="s">
        <v>11995</v>
      </c>
      <c r="G1" s="290" t="s">
        <v>11994</v>
      </c>
      <c r="H1" s="291"/>
      <c r="I1" s="291"/>
      <c r="J1" s="291"/>
      <c r="K1" s="291"/>
      <c r="L1" s="291"/>
      <c r="M1" s="291"/>
      <c r="N1" s="291"/>
      <c r="O1" s="291"/>
      <c r="P1" s="291"/>
      <c r="Q1" s="291"/>
      <c r="R1" s="291"/>
      <c r="S1" s="291"/>
      <c r="T1" s="291"/>
      <c r="U1" s="291"/>
      <c r="V1" s="291"/>
      <c r="W1" s="291"/>
      <c r="X1" s="291"/>
      <c r="Y1" s="291"/>
      <c r="Z1" s="291"/>
      <c r="AA1" s="291"/>
      <c r="AB1" s="291"/>
      <c r="AC1" s="291"/>
      <c r="AD1" s="291"/>
      <c r="AE1" s="291"/>
      <c r="AF1" s="291"/>
      <c r="AG1" s="291"/>
      <c r="AH1" s="291"/>
      <c r="AI1" s="291"/>
      <c r="AJ1" s="291"/>
      <c r="AK1" s="291"/>
      <c r="AL1" s="291"/>
      <c r="AM1" s="291"/>
      <c r="AN1" s="239" t="s">
        <v>11993</v>
      </c>
      <c r="AO1" s="238" t="s">
        <v>11992</v>
      </c>
      <c r="AP1" s="237" t="s">
        <v>11991</v>
      </c>
      <c r="AQ1" s="236" t="s">
        <v>11</v>
      </c>
    </row>
    <row r="2" spans="1:43" ht="27" customHeight="1">
      <c r="A2" s="278"/>
      <c r="B2" s="278"/>
      <c r="C2" s="278"/>
      <c r="D2" s="278"/>
      <c r="E2" s="278"/>
      <c r="F2" s="279"/>
      <c r="G2" s="292" t="s">
        <v>11990</v>
      </c>
      <c r="H2" s="292"/>
      <c r="I2" s="292"/>
      <c r="J2" s="293" t="s">
        <v>11989</v>
      </c>
      <c r="K2" s="293"/>
      <c r="L2" s="293"/>
      <c r="M2" s="294" t="s">
        <v>9</v>
      </c>
      <c r="N2" s="294"/>
      <c r="O2" s="294"/>
      <c r="P2" s="295" t="s">
        <v>8</v>
      </c>
      <c r="Q2" s="295"/>
      <c r="R2" s="295"/>
      <c r="S2" s="283" t="s">
        <v>11988</v>
      </c>
      <c r="T2" s="283"/>
      <c r="U2" s="283"/>
      <c r="V2" s="284" t="s">
        <v>11987</v>
      </c>
      <c r="W2" s="284"/>
      <c r="X2" s="284"/>
      <c r="Y2" s="285" t="s">
        <v>11986</v>
      </c>
      <c r="Z2" s="285"/>
      <c r="AA2" s="285"/>
      <c r="AB2" s="286" t="s">
        <v>11985</v>
      </c>
      <c r="AC2" s="286"/>
      <c r="AD2" s="286"/>
      <c r="AE2" s="235" t="s">
        <v>11984</v>
      </c>
      <c r="AF2" s="234" t="s">
        <v>11983</v>
      </c>
      <c r="AG2" s="233" t="s">
        <v>11982</v>
      </c>
      <c r="AH2" s="233" t="s">
        <v>11981</v>
      </c>
      <c r="AI2" s="233" t="s">
        <v>11980</v>
      </c>
      <c r="AJ2" s="233" t="s">
        <v>11979</v>
      </c>
      <c r="AK2" s="233" t="s">
        <v>11978</v>
      </c>
      <c r="AL2" s="233" t="s">
        <v>11977</v>
      </c>
      <c r="AM2" s="233" t="s">
        <v>11976</v>
      </c>
      <c r="AN2" s="282"/>
      <c r="AO2" s="282"/>
      <c r="AP2" s="282"/>
      <c r="AQ2" s="282"/>
    </row>
    <row r="3" spans="1:43" ht="22.05" customHeight="1">
      <c r="A3" s="280"/>
      <c r="B3" s="280"/>
      <c r="C3" s="280"/>
      <c r="D3" s="280"/>
      <c r="E3" s="280"/>
      <c r="F3" s="28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7"/>
      <c r="AF3" s="288"/>
      <c r="AG3" s="288"/>
      <c r="AH3" s="288"/>
      <c r="AI3" s="288"/>
      <c r="AJ3" s="288"/>
      <c r="AK3" s="288"/>
      <c r="AL3" s="288"/>
      <c r="AM3" s="289"/>
      <c r="AN3" s="282"/>
      <c r="AO3" s="282"/>
      <c r="AP3" s="282"/>
      <c r="AQ3" s="282"/>
    </row>
    <row r="4" spans="1:43" ht="25.0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42">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63">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63">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42">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42">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topLeftCell="O1" zoomScale="85" zoomScaleNormal="85" workbookViewId="0">
      <selection activeCell="AC8" sqref="AC8"/>
    </sheetView>
  </sheetViews>
  <sheetFormatPr defaultRowHeight="14.4"/>
  <cols>
    <col min="1" max="1" width="13.21875" bestFit="1" customWidth="1"/>
    <col min="2" max="2" width="21.21875" bestFit="1" customWidth="1"/>
    <col min="3" max="3" width="14.109375" bestFit="1" customWidth="1"/>
    <col min="4" max="4" width="15.77734375" bestFit="1" customWidth="1"/>
    <col min="5" max="5" width="255.6640625" bestFit="1" customWidth="1"/>
    <col min="6" max="6" width="27.44140625" bestFit="1" customWidth="1"/>
    <col min="7" max="7" width="11.77734375" bestFit="1" customWidth="1"/>
    <col min="8" max="8" width="7.44140625" bestFit="1" customWidth="1"/>
    <col min="9" max="9" width="13.109375" bestFit="1" customWidth="1"/>
    <col min="10" max="10" width="73.88671875" bestFit="1" customWidth="1"/>
    <col min="11" max="11" width="78.77734375" bestFit="1" customWidth="1"/>
    <col min="12" max="12" width="82.21875" bestFit="1" customWidth="1"/>
    <col min="13" max="13" width="14.109375" bestFit="1" customWidth="1"/>
    <col min="14" max="14" width="255.6640625" bestFit="1" customWidth="1"/>
    <col min="15" max="15" width="9" bestFit="1" customWidth="1"/>
    <col min="16" max="16" width="8.77734375" bestFit="1" customWidth="1"/>
    <col min="17" max="17" width="7.6640625" bestFit="1" customWidth="1"/>
    <col min="18" max="18" width="7.77734375" bestFit="1" customWidth="1"/>
    <col min="19" max="19" width="7.88671875" bestFit="1" customWidth="1"/>
    <col min="20" max="20" width="7.5546875" bestFit="1" customWidth="1"/>
    <col min="21" max="21" width="7.88671875" bestFit="1" customWidth="1"/>
    <col min="22" max="22" width="7.5546875" bestFit="1" customWidth="1"/>
    <col min="23" max="23" width="9" bestFit="1" customWidth="1"/>
    <col min="24" max="24" width="8.77734375" bestFit="1" customWidth="1"/>
    <col min="25" max="25" width="7.6640625" bestFit="1" customWidth="1"/>
    <col min="26" max="26" width="7.77734375" bestFit="1" customWidth="1"/>
    <col min="27" max="27" width="7.88671875" bestFit="1" customWidth="1"/>
    <col min="28" max="28" width="7.5546875" bestFit="1" customWidth="1"/>
    <col min="29" max="29" width="7.88671875" bestFit="1" customWidth="1"/>
    <col min="30" max="30" width="7.5546875" bestFit="1" customWidth="1"/>
    <col min="31" max="31" width="9.88671875" bestFit="1" customWidth="1"/>
    <col min="32" max="32" width="9.77734375" bestFit="1" customWidth="1"/>
    <col min="33" max="33" width="8.6640625" bestFit="1" customWidth="1"/>
    <col min="34" max="34" width="8.77734375" bestFit="1" customWidth="1"/>
    <col min="35" max="35" width="8.88671875" bestFit="1" customWidth="1"/>
    <col min="36" max="36" width="8.5546875" bestFit="1" customWidth="1"/>
    <col min="37" max="37" width="8.88671875" bestFit="1" customWidth="1"/>
    <col min="38" max="38" width="8.5546875" bestFit="1" customWidth="1"/>
    <col min="39" max="39" width="13.6640625" bestFit="1" customWidth="1"/>
    <col min="40" max="40" width="27.44140625" bestFit="1" customWidth="1"/>
    <col min="41" max="41" width="14.77734375" bestFit="1" customWidth="1"/>
    <col min="42" max="42" width="10.88671875" bestFit="1" customWidth="1"/>
    <col min="43" max="43" width="61.109375" bestFit="1" customWidth="1"/>
  </cols>
  <sheetData>
    <row r="1" spans="1:43">
      <c r="A1" s="251" t="s">
        <v>1</v>
      </c>
      <c r="B1" s="251" t="s">
        <v>2</v>
      </c>
      <c r="C1" s="251" t="s">
        <v>3</v>
      </c>
      <c r="D1" s="251" t="s">
        <v>4</v>
      </c>
      <c r="E1" s="251" t="s">
        <v>5</v>
      </c>
      <c r="F1" s="251" t="s">
        <v>12004</v>
      </c>
      <c r="G1" s="251" t="s">
        <v>14071</v>
      </c>
      <c r="H1" s="251" t="s">
        <v>12254</v>
      </c>
      <c r="I1" s="251" t="s">
        <v>12255</v>
      </c>
      <c r="J1" s="251" t="s">
        <v>12256</v>
      </c>
      <c r="K1" s="251" t="s">
        <v>12257</v>
      </c>
      <c r="L1" s="251" t="s">
        <v>12258</v>
      </c>
      <c r="M1" s="251" t="s">
        <v>12003</v>
      </c>
      <c r="N1" s="251" t="s">
        <v>12259</v>
      </c>
      <c r="O1" s="251" t="s">
        <v>12211</v>
      </c>
      <c r="P1" s="251" t="s">
        <v>12212</v>
      </c>
      <c r="Q1" s="251" t="s">
        <v>12213</v>
      </c>
      <c r="R1" s="251" t="s">
        <v>12214</v>
      </c>
      <c r="S1" s="251" t="s">
        <v>12215</v>
      </c>
      <c r="T1" s="251" t="s">
        <v>12216</v>
      </c>
      <c r="U1" s="251" t="s">
        <v>12217</v>
      </c>
      <c r="V1" s="251" t="s">
        <v>12218</v>
      </c>
      <c r="W1" s="251" t="s">
        <v>12219</v>
      </c>
      <c r="X1" s="251" t="s">
        <v>12220</v>
      </c>
      <c r="Y1" s="251" t="s">
        <v>12221</v>
      </c>
      <c r="Z1" s="251" t="s">
        <v>12222</v>
      </c>
      <c r="AA1" s="251" t="s">
        <v>12223</v>
      </c>
      <c r="AB1" s="251" t="s">
        <v>12224</v>
      </c>
      <c r="AC1" s="251" t="s">
        <v>12225</v>
      </c>
      <c r="AD1" s="251" t="s">
        <v>12226</v>
      </c>
      <c r="AE1" s="251" t="s">
        <v>12227</v>
      </c>
      <c r="AF1" s="251" t="s">
        <v>12228</v>
      </c>
      <c r="AG1" s="251" t="s">
        <v>12229</v>
      </c>
      <c r="AH1" s="251" t="s">
        <v>12230</v>
      </c>
      <c r="AI1" s="251" t="s">
        <v>12231</v>
      </c>
      <c r="AJ1" s="251" t="s">
        <v>12232</v>
      </c>
      <c r="AK1" s="251" t="s">
        <v>12233</v>
      </c>
      <c r="AL1" s="251" t="s">
        <v>12234</v>
      </c>
      <c r="AM1" s="251" t="s">
        <v>12235</v>
      </c>
      <c r="AN1" s="251" t="s">
        <v>11998</v>
      </c>
      <c r="AO1" s="251" t="s">
        <v>11996</v>
      </c>
      <c r="AP1" s="251" t="s">
        <v>11997</v>
      </c>
      <c r="AQ1" s="251"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14072</v>
      </c>
      <c r="AP27" t="s">
        <v>5247</v>
      </c>
      <c r="AQ27" t="s">
        <v>14073</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14074</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14075</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14076</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14077</v>
      </c>
      <c r="AP334" t="s">
        <v>5247</v>
      </c>
      <c r="AQ334" t="s">
        <v>14078</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E6D82-83AE-46AE-9414-0EB06873694C}">
  <sheetPr codeName="Sheet4"/>
  <dimension ref="A1:AA127"/>
  <sheetViews>
    <sheetView workbookViewId="0">
      <selection activeCell="A21" sqref="A20:A21"/>
    </sheetView>
  </sheetViews>
  <sheetFormatPr defaultRowHeight="14.4"/>
  <cols>
    <col min="1" max="1" width="12" bestFit="1" customWidth="1"/>
    <col min="2" max="2" width="50.44140625" customWidth="1"/>
  </cols>
  <sheetData>
    <row r="1" spans="1:27">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c r="A2">
        <v>6562619654217</v>
      </c>
      <c r="B2" t="s">
        <v>14092</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14093</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14094</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14095</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14096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14097</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14098</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14099</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14100</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14101</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14102</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14103</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14104</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14105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14106</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14107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14108</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14109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14110</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14111</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14112</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14113</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14114</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14115</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14116</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14117</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14118</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14119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14120</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14121</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14121</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14122</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14123</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14124</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14125</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14126</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14127</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14128</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14129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14130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14131</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14132</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14133</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14134</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14135</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14136</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14137</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14138</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14139</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14140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14141</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14142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14143</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14144</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14145</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14146</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14147</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14148</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14149</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14150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14151</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14152</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14153</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14154</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14155</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14156</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14157</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14158</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14159</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14160</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14161</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14162</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14163</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14164</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14165</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14166</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14167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14168</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14169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14170</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14171</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14172</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14173</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14174</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14175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14176</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14177</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14178</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14179</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14180</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14181</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14182</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14183</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14184</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14185</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14186</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14187</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14188</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14189</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14190</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14191</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14192</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14192</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14193</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14194</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14195</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14196</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14197</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Frontend</vt:lpstr>
      <vt:lpstr>OUT</vt:lpstr>
      <vt:lpstr>Path Setting</vt:lpstr>
      <vt:lpstr>IN Log</vt:lpstr>
      <vt:lpstr>Sheet1</vt:lpstr>
      <vt:lpstr>Customer Backend</vt:lpstr>
      <vt:lpstr>Combined Data</vt:lpstr>
      <vt:lpstr>Setting</vt:lpstr>
      <vt:lpstr>log</vt:lpstr>
      <vt:lpstr>Misc</vt:lpstr>
      <vt:lpstr>Packaging</vt:lpstr>
      <vt:lpstr>Popcorn</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2022-05-30T09:56:23Z</dcterms:modified>
</cp:coreProperties>
</file>